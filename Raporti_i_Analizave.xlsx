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orti" sheetId="1" state="visible" r:id="rId3"/>
    <sheet name="Cilësimet" sheetId="2" state="visible" r:id="rId4"/>
    <sheet name="Udhëzi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Data e fillimit të periudhës së raportit (mund ta ndryshosh).</t>
        </r>
      </text>
    </comment>
    <comment ref="D3" authorId="0">
      <text>
        <r>
          <rPr>
            <sz val="10"/>
            <rFont val="Arial"/>
            <family val="2"/>
          </rPr>
          <t xml:space="preserve">Data e mbarimit të periudhës së raportit (mund ta ndryshosh).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Vlerë e zgjedhur nga ti (1% si parazgjedhje). Raporti origjinal përdor 23%: me 23% dhe R:R 1.40 dalin saktë 8.05% / 24.15% / -23%.</t>
        </r>
      </text>
    </comment>
  </commentList>
</comments>
</file>

<file path=xl/sharedStrings.xml><?xml version="1.0" encoding="utf-8"?>
<sst xmlns="http://schemas.openxmlformats.org/spreadsheetml/2006/main" count="101" uniqueCount="91">
  <si>
    <t xml:space="preserve">RAPORTI I ANALIZAVE</t>
  </si>
  <si>
    <t xml:space="preserve">deri</t>
  </si>
  <si>
    <t xml:space="preserve">Total Trades</t>
  </si>
  <si>
    <t xml:space="preserve">Winrate</t>
  </si>
  <si>
    <t xml:space="preserve">Total WINS</t>
  </si>
  <si>
    <t xml:space="preserve">Total LOSS</t>
  </si>
  <si>
    <t xml:space="preserve">Total BE</t>
  </si>
  <si>
    <t xml:space="preserve">PnL</t>
  </si>
  <si>
    <t xml:space="preserve">Ky raport pasqyron rezultate të kaluara dhe nuk garanton performancë të ardhshme.</t>
  </si>
  <si>
    <t xml:space="preserve">Data</t>
  </si>
  <si>
    <t xml:space="preserve">Pair</t>
  </si>
  <si>
    <t xml:space="preserve">Setup</t>
  </si>
  <si>
    <t xml:space="preserve">R:R</t>
  </si>
  <si>
    <t xml:space="preserve">Status i pozitës</t>
  </si>
  <si>
    <t xml:space="preserve">Net</t>
  </si>
  <si>
    <t xml:space="preserve">Balance</t>
  </si>
  <si>
    <t xml:space="preserve">Shënime</t>
  </si>
  <si>
    <t xml:space="preserve">Brenda periudhës</t>
  </si>
  <si>
    <t xml:space="preserve">Kategoria</t>
  </si>
  <si>
    <t xml:space="preserve">cTrader ID</t>
  </si>
  <si>
    <t xml:space="preserve">EUR/JPY</t>
  </si>
  <si>
    <t xml:space="preserve">IMB</t>
  </si>
  <si>
    <t xml:space="preserve">CLOSE HALF - BE</t>
  </si>
  <si>
    <t xml:space="preserve">Shembull – fshije këtë rresht</t>
  </si>
  <si>
    <t xml:space="preserve">Plotëso vetëm: Data, Pair, Setup, R:R, Status i pozitës dhe Shënime (qelizat me sfond më të çelët).</t>
  </si>
  <si>
    <t xml:space="preserve">Net, Balance, statistikat dhe grafikët llogariten vetë. Periudha ndryshohet te B3 dhe D3.</t>
  </si>
  <si>
    <t xml:space="preserve">CILËSIMET</t>
  </si>
  <si>
    <t xml:space="preserve">Rreziku për trade</t>
  </si>
  <si>
    <t xml:space="preserve">Statusi</t>
  </si>
  <si>
    <t xml:space="preserve">× R:R</t>
  </si>
  <si>
    <t xml:space="preserve">+ R fikse</t>
  </si>
  <si>
    <t xml:space="preserve">EUR/USD</t>
  </si>
  <si>
    <t xml:space="preserve">Net = Rreziku × (R:R × shumëzuesi + R fikse)</t>
  </si>
  <si>
    <t xml:space="preserve">TP</t>
  </si>
  <si>
    <t xml:space="preserve">WIN</t>
  </si>
  <si>
    <t xml:space="preserve">CHILL</t>
  </si>
  <si>
    <t xml:space="preserve">GBP/USD</t>
  </si>
  <si>
    <t xml:space="preserve">TP: e gjithë pozita mbyllet te TP  →  1 × R:R</t>
  </si>
  <si>
    <t xml:space="preserve">CLOSE HALF - TP</t>
  </si>
  <si>
    <t xml:space="preserve">BOS</t>
  </si>
  <si>
    <t xml:space="preserve">USD/JPY</t>
  </si>
  <si>
    <t xml:space="preserve">CLOSE HALF - TP: gjysma mbyllet te gjysma e rrugës, gjysma te TP  →  0.75 × R:R</t>
  </si>
  <si>
    <t xml:space="preserve">BE</t>
  </si>
  <si>
    <t xml:space="preserve">CHOCH</t>
  </si>
  <si>
    <t xml:space="preserve">USD/CHF</t>
  </si>
  <si>
    <t xml:space="preserve">CLOSE HALF - BE: gjysma mbyllet te gjysma e rrugës, pjesa tjetër në BE  →  0.25 × R:R</t>
  </si>
  <si>
    <t xml:space="preserve">FVG</t>
  </si>
  <si>
    <t xml:space="preserve">USD/CAD</t>
  </si>
  <si>
    <t xml:space="preserve">BE: mbyllet pa fitim e pa humbje  →  0</t>
  </si>
  <si>
    <t xml:space="preserve">LOSS</t>
  </si>
  <si>
    <t xml:space="preserve">OB</t>
  </si>
  <si>
    <t xml:space="preserve">AUD/USD</t>
  </si>
  <si>
    <t xml:space="preserve">LOSS: goditet SL  →  -1R</t>
  </si>
  <si>
    <t xml:space="preserve">BREAKER</t>
  </si>
  <si>
    <t xml:space="preserve">NZD/USD</t>
  </si>
  <si>
    <t xml:space="preserve">Kategoria vendos ku numërohet trade-i: WIN, LOSS ose BE.</t>
  </si>
  <si>
    <t xml:space="preserve">SWEEP</t>
  </si>
  <si>
    <t xml:space="preserve">Winrate = WINS / (WINS + LOSS). Trade-t BE nuk ndikojnë në winrate.</t>
  </si>
  <si>
    <t xml:space="preserve">Qelizat me sfond pak më të çelët (C3, tabela e statuseve, Setup, Pair) mund t'i ndryshosh.</t>
  </si>
  <si>
    <t xml:space="preserve">EUR/GBP</t>
  </si>
  <si>
    <t xml:space="preserve">EUR/CAD</t>
  </si>
  <si>
    <t xml:space="preserve">EUR/AUD</t>
  </si>
  <si>
    <t xml:space="preserve">EUR/CHF</t>
  </si>
  <si>
    <t xml:space="preserve">GBP/JPY</t>
  </si>
  <si>
    <t xml:space="preserve">GBP/AUD</t>
  </si>
  <si>
    <t xml:space="preserve">AUD/JPY</t>
  </si>
  <si>
    <t xml:space="preserve">AUD/CHF</t>
  </si>
  <si>
    <t xml:space="preserve">CAD/JPY</t>
  </si>
  <si>
    <t xml:space="preserve">XAU/USD</t>
  </si>
  <si>
    <t xml:space="preserve">US30</t>
  </si>
  <si>
    <t xml:space="preserve">NAS100</t>
  </si>
  <si>
    <t xml:space="preserve">UDHËZIME</t>
  </si>
  <si>
    <t xml:space="preserve">Si ta përdorësh</t>
  </si>
  <si>
    <t xml:space="preserve">1. Te fleta 'Raporti' shto një rresht për çdo trade, duke nisur nga rreshti 12.</t>
  </si>
  <si>
    <t xml:space="preserve">2. Plotëso: Data, Pair, Setup, R:R dhe Status i pozitës (zgjidhe nga lista). Shënime është opsionale.</t>
  </si>
  <si>
    <t xml:space="preserve">3. Net, Balance, Total Trades/WINS/LOSS/BE, Winrate, PnL dhe grafikët llogariten automatikisht – mos i shkruaj me dorë.</t>
  </si>
  <si>
    <t xml:space="preserve">4. Periudha e raportit: ndrysho datat te B3 (nga) dhe D3 (deri). Llogariten vetëm trade-t brenda periudhës.</t>
  </si>
  <si>
    <t xml:space="preserve">5. Fshi rreshtin shembull (rreshti 12) para se të fillosh. Ka vend për 500 trade (rreshtat 12–511).</t>
  </si>
  <si>
    <t xml:space="preserve">6. Shkruaji trade-t me radhë kronologjike – Balance llogaritet nga lart poshtë.</t>
  </si>
  <si>
    <t xml:space="preserve">Si llogaritet</t>
  </si>
  <si>
    <t xml:space="preserve">• Net = Rreziku × (R:R × shumëzuesi + R fikse). Rreziku dhe shumëzuesit janë te fleta 'Cilësimet'.</t>
  </si>
  <si>
    <t xml:space="preserve">• TP = 1 × R:R · CLOSE HALF - TP = 0.75 × R:R · CLOSE HALF - BE = 0.25 × R:R · BE = 0 · LOSS = −1R</t>
  </si>
  <si>
    <t xml:space="preserve">• Balance rritet me interes të përbërë: (1 + Balance i mëparshëm) × (1 + Net) − 1. PnL = Balance i fundit.</t>
  </si>
  <si>
    <t xml:space="preserve">• Winrate = WINS / (WINS + LOSS). BE nuk ndikon.</t>
  </si>
  <si>
    <t xml:space="preserve">• Me Rrezik 23% dhe R:R 1.40 merr saktë numrat e raportit origjinal (8.05%, 24.15%, −23.00%).</t>
  </si>
  <si>
    <t xml:space="preserve">Google Sheets</t>
  </si>
  <si>
    <t xml:space="preserve">Ngarkoje skedarin në Google Drive → hape me Google Sheets (ose: File → Import → Upload).</t>
  </si>
  <si>
    <t xml:space="preserve">Lidhja me cTrader</t>
  </si>
  <si>
    <t xml:space="preserve">Trade-t mund të vijnë automatikisht nga cTrader: shih ctrader/UDHEZIME.md (cBot RaportiSync + Google Apps Script).</t>
  </si>
  <si>
    <t xml:space="preserve">Ngjyrat</t>
  </si>
  <si>
    <t xml:space="preserve">Qelizat me sfond pak më të çelët janë për t'u plotësuar. Qelizat e errëta llogariten vetë.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</si>
</sst>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 mmm\ yyyy"/>
    <numFmt numFmtId="166" formatCode="0"/>
    <numFmt numFmtId="167" formatCode="0.0%"/>
    <numFmt numFmtId="168" formatCode="0.00%"/>
    <numFmt numFmtId="169" formatCode="dd\ mmm\ yy"/>
    <numFmt numFmtId="170" formatCode="0.00"/>
    <numFmt numFmtId="171" formatCode="General"/>
    <numFmt numFmtId="172" formatCode="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3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AA0A6"/>
      <name val="Arial"/>
      <family val="0"/>
      <charset val="1"/>
    </font>
    <font>
      <b val="true"/>
      <sz val="11"/>
      <color rgb="FF8AB4F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b val="true"/>
      <sz val="11"/>
      <color rgb="FFEF4444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5"/>
      <color rgb="FF22C55E"/>
      <name val="Arial"/>
      <family val="0"/>
      <charset val="1"/>
    </font>
    <font>
      <b val="true"/>
      <i val="true"/>
      <sz val="9"/>
      <color rgb="FF9AA0A6"/>
      <name val="Arial"/>
      <family val="0"/>
      <charset val="1"/>
    </font>
    <font>
      <b val="true"/>
      <sz val="9"/>
      <color rgb="FF9AA0A6"/>
      <name val="Arial"/>
      <family val="0"/>
      <charset val="1"/>
    </font>
    <font>
      <sz val="9"/>
      <color rgb="FF9AA0A6"/>
      <name val="Arial"/>
      <family val="0"/>
      <charset val="1"/>
    </font>
    <font>
      <i val="true"/>
      <sz val="9"/>
      <color rgb="FF9AA0A6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2"/>
    </font>
    <font>
      <sz val="10"/>
      <color rgb="FF000000"/>
      <name val="Calibri"/>
      <family val="2"/>
    </font>
    <font>
      <b val="true"/>
      <sz val="7"/>
      <color rgb="FF9AA0A6"/>
      <name val="Arial"/>
      <family val="2"/>
    </font>
    <font>
      <b val="true"/>
      <sz val="16"/>
      <color rgb="FFFFFFFF"/>
      <name val="Arial"/>
      <family val="2"/>
    </font>
    <font>
      <b val="true"/>
      <sz val="9"/>
      <color rgb="FF9AA0A6"/>
      <name val="Arial"/>
      <family val="2"/>
    </font>
    <font>
      <b val="true"/>
      <sz val="18"/>
      <color rgb="FFFFFFFF"/>
      <name val="Arial"/>
      <family val="0"/>
      <charset val="1"/>
    </font>
    <font>
      <b val="true"/>
      <sz val="10"/>
      <color rgb="FF8AB4F8"/>
      <name val="Arial"/>
      <family val="0"/>
      <charset val="1"/>
    </font>
    <font>
      <b val="true"/>
      <sz val="10"/>
      <color rgb="FF0B0B0B"/>
      <name val="Arial"/>
      <family val="0"/>
      <charset val="1"/>
    </font>
    <font>
      <b val="true"/>
      <sz val="10"/>
      <color rgb="FF3C4043"/>
      <name val="Arial"/>
      <family val="0"/>
      <charset val="1"/>
    </font>
    <font>
      <b val="true"/>
      <sz val="12"/>
      <color rgb="FF8AB4F8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B0B0B"/>
        <bgColor rgb="FF000000"/>
      </patternFill>
    </fill>
    <fill>
      <patternFill patternType="solid">
        <fgColor rgb="FF1D1D1D"/>
        <bgColor rgb="FF222222"/>
      </patternFill>
    </fill>
    <fill>
      <patternFill patternType="solid">
        <fgColor rgb="FF17233B"/>
        <bgColor rgb="FF1A2238"/>
      </patternFill>
    </fill>
    <fill>
      <patternFill patternType="solid">
        <fgColor rgb="FF222222"/>
        <bgColor rgb="FF1D1D1D"/>
      </patternFill>
    </fill>
    <fill>
      <patternFill patternType="solid">
        <fgColor rgb="FF1A2238"/>
        <bgColor rgb="FF17233B"/>
      </patternFill>
    </fill>
    <fill>
      <patternFill patternType="solid">
        <fgColor rgb="FF161616"/>
        <bgColor rgb="FF1D1D1D"/>
      </patternFill>
    </fill>
    <fill>
      <patternFill patternType="solid">
        <fgColor rgb="FF15803D"/>
        <bgColor rgb="FF008080"/>
      </patternFill>
    </fill>
    <fill>
      <patternFill patternType="solid">
        <fgColor rgb="FF57BB8A"/>
        <bgColor rgb="FF22C55E"/>
      </patternFill>
    </fill>
    <fill>
      <patternFill patternType="solid">
        <fgColor rgb="FFB7E1CD"/>
        <bgColor rgb="FFDADCE0"/>
      </patternFill>
    </fill>
    <fill>
      <patternFill patternType="solid">
        <fgColor rgb="FFE8EAED"/>
        <bgColor rgb="FFDADCE0"/>
      </patternFill>
    </fill>
    <fill>
      <patternFill patternType="solid">
        <fgColor rgb="FFC62828"/>
        <bgColor rgb="FFEF444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E2E2E"/>
      </left>
      <right style="thin">
        <color rgb="FF2E2E2E"/>
      </right>
      <top style="thin">
        <color rgb="FF2E2E2E"/>
      </top>
      <bottom style="thin">
        <color rgb="FF2E2E2E"/>
      </bottom>
      <diagonal/>
    </border>
    <border diagonalUp="false" diagonalDown="false">
      <left style="medium">
        <color rgb="FFDADCE0"/>
      </left>
      <right style="medium">
        <color rgb="FFDADCE0"/>
      </right>
      <top style="medium">
        <color rgb="FFDADCE0"/>
      </top>
      <bottom style="medium">
        <color rgb="FFDAD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EF4444"/>
        <sz val="15"/>
      </font>
    </dxf>
    <dxf>
      <font>
        <name val="Arial"/>
        <charset val="1"/>
        <family val="0"/>
        <b val="1"/>
        <color rgb="FFFFFFFF"/>
      </font>
      <fill>
        <patternFill>
          <bgColor rgb="FF15803D"/>
        </patternFill>
      </fill>
    </dxf>
    <dxf>
      <font>
        <name val="Arial"/>
        <charset val="1"/>
        <family val="0"/>
        <b val="1"/>
        <color rgb="FF0B0B0B"/>
      </font>
      <fill>
        <patternFill>
          <bgColor rgb="FF57BB8A"/>
        </patternFill>
      </fill>
    </dxf>
    <dxf>
      <font>
        <name val="Arial"/>
        <charset val="1"/>
        <family val="0"/>
        <b val="1"/>
        <color rgb="FF0B0B0B"/>
      </font>
      <fill>
        <patternFill>
          <bgColor rgb="FFB7E1CD"/>
        </patternFill>
      </fill>
    </dxf>
    <dxf>
      <font>
        <name val="Arial"/>
        <charset val="1"/>
        <family val="0"/>
        <b val="1"/>
        <color rgb="FF3C4043"/>
      </font>
      <fill>
        <patternFill>
          <bgColor rgb="FFE8EAED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62828"/>
        </patternFill>
      </fill>
    </dxf>
    <dxf>
      <font>
        <name val="Arial"/>
        <charset val="1"/>
        <family val="0"/>
        <b val="1"/>
        <color rgb="FF22C55E"/>
      </font>
    </dxf>
    <dxf>
      <font>
        <name val="Arial"/>
        <charset val="1"/>
        <family val="0"/>
        <b val="1"/>
        <color rgb="FFEF4444"/>
      </font>
    </dxf>
  </dxfs>
  <colors>
    <indexedColors>
      <rgbColor rgb="FF000000"/>
      <rgbColor rgb="FFFFFFFF"/>
      <rgbColor rgb="FFFF0000"/>
      <rgbColor rgb="FF39E75F"/>
      <rgbColor rgb="FF0000FF"/>
      <rgbColor rgb="FFFFFF00"/>
      <rgbColor rgb="FFFF00FF"/>
      <rgbColor rgb="FF00FFFF"/>
      <rgbColor rgb="FF800000"/>
      <rgbColor rgb="FF15803D"/>
      <rgbColor rgb="FF1A2238"/>
      <rgbColor rgb="FF808000"/>
      <rgbColor rgb="FF800080"/>
      <rgbColor rgb="FF14532D"/>
      <rgbColor rgb="FFC0C0C0"/>
      <rgbColor rgb="FF878787"/>
      <rgbColor rgb="FF9999FF"/>
      <rgbColor rgb="FF993366"/>
      <rgbColor rgb="FFFFFFCC"/>
      <rgbColor rgb="FFE8EAED"/>
      <rgbColor rgb="FF161616"/>
      <rgbColor rgb="FFFF8080"/>
      <rgbColor rgb="FF0066CC"/>
      <rgbColor rgb="FFDADCE0"/>
      <rgbColor rgb="FF0B0B0B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8AB4F8"/>
      <rgbColor rgb="FFFF99CC"/>
      <rgbColor rgb="FFCC99FF"/>
      <rgbColor rgb="FFFFCC99"/>
      <rgbColor rgb="FF3366FF"/>
      <rgbColor rgb="FF57BB8A"/>
      <rgbColor rgb="FF99CC00"/>
      <rgbColor rgb="FFFFCC00"/>
      <rgbColor rgb="FFFF9900"/>
      <rgbColor rgb="FFEF4444"/>
      <rgbColor rgb="FF4F81BD"/>
      <rgbColor rgb="FF9AA0A6"/>
      <rgbColor rgb="FF17233B"/>
      <rgbColor rgb="FF22C55E"/>
      <rgbColor rgb="FF1D1D1D"/>
      <rgbColor rgb="FF222222"/>
      <rgbColor rgb="FFC62828"/>
      <rgbColor rgb="FF993366"/>
      <rgbColor rgb="FF3C4043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2c55e"/>
              </a:solidFill>
              <a:ln w="12600">
                <a:solidFill>
                  <a:srgbClr val="0b0b0b"/>
                </a:solidFill>
                <a:round/>
              </a:ln>
            </c:spPr>
          </c:dPt>
          <c:dPt>
            <c:idx val="1"/>
            <c:spPr>
              <a:solidFill>
                <a:srgbClr val="ef4444"/>
              </a:solidFill>
              <a:ln w="12600">
                <a:solidFill>
                  <a:srgbClr val="0b0b0b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Raporti!$C$5:$C$6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0b0b0b"/>
        </a:solidFill>
        <a:ln w="0">
          <a:noFill/>
        </a:ln>
      </c:spPr>
    </c:plotArea>
    <c:plotVisOnly val="1"/>
    <c:dispBlanksAs val="gap"/>
  </c:chart>
  <c:spPr>
    <a:solidFill>
      <a:srgbClr val="0b0b0b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ffffff"/>
                </a:solidFill>
                <a:latin typeface="Arial"/>
              </a:defRPr>
            </a:pPr>
            <a:r>
              <a:rPr b="1" sz="1000" spc="-1" strike="noStrike">
                <a:solidFill>
                  <a:srgbClr val="ffffff"/>
                </a:solidFill>
                <a:latin typeface="Arial"/>
              </a:rPr>
              <a:t>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spPr>
            <a:solidFill>
              <a:srgbClr val="14532d"/>
            </a:solidFill>
            <a:ln w="28440">
              <a:solidFill>
                <a:srgbClr val="39e75f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Raporti!$H$12:$H$511</c:f>
              <c:numCache>
                <c:formatCode>0.00%</c:formatCode>
                <c:ptCount val="500"/>
                <c:pt idx="0">
                  <c:v>0.00350000000000006</c:v>
                </c:pt>
              </c:numCache>
            </c:numRef>
          </c:val>
        </c:ser>
        <c:axId val="71630230"/>
        <c:axId val="89389392"/>
      </c:areaChart>
      <c:catAx>
        <c:axId val="7163023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89392"/>
        <c:auto val="1"/>
        <c:lblAlgn val="ctr"/>
        <c:lblOffset val="100"/>
        <c:noMultiLvlLbl val="0"/>
      </c:catAx>
      <c:valAx>
        <c:axId val="89389392"/>
        <c:scaling>
          <c:orientation val="minMax"/>
        </c:scaling>
        <c:delete val="0"/>
        <c:axPos val="l"/>
        <c:majorGridlines>
          <c:spPr>
            <a:ln w="9360">
              <a:solidFill>
                <a:srgbClr val="3c4043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1" sz="700" spc="-1" strike="noStrike">
                <a:solidFill>
                  <a:srgbClr val="9aa0a6"/>
                </a:solidFill>
                <a:latin typeface="Arial"/>
              </a:defRPr>
            </a:pPr>
          </a:p>
        </c:txPr>
        <c:crossAx val="71630230"/>
        <c:crosses val="autoZero"/>
        <c:crossBetween val="midCat"/>
      </c:valAx>
      <c:spPr>
        <a:solidFill>
          <a:srgbClr val="0b0b0b"/>
        </a:solidFill>
        <a:ln w="0">
          <a:noFill/>
        </a:ln>
      </c:spPr>
    </c:plotArea>
    <c:plotVisOnly val="1"/>
    <c:dispBlanksAs val="gap"/>
  </c:chart>
  <c:spPr>
    <a:solidFill>
      <a:srgbClr val="0b0b0b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600" spc="-1" strike="noStrike">
                <a:solidFill>
                  <a:srgbClr val="ffffff"/>
                </a:solidFill>
                <a:latin typeface="Arial"/>
              </a:defRPr>
            </a:pPr>
            <a:r>
              <a:rPr b="1" sz="1600" spc="-1" strike="noStrike">
                <a:solidFill>
                  <a:srgbClr val="ffffff"/>
                </a:solidFill>
                <a:latin typeface="Arial"/>
              </a:rPr>
              <a:t>Balance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spPr>
            <a:solidFill>
              <a:srgbClr val="14532d"/>
            </a:solidFill>
            <a:ln w="28440">
              <a:solidFill>
                <a:srgbClr val="39e75f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Raporti!$H$12:$H$511</c:f>
              <c:numCache>
                <c:formatCode>0.00%</c:formatCode>
                <c:ptCount val="500"/>
                <c:pt idx="0">
                  <c:v>0.00350000000000006</c:v>
                </c:pt>
              </c:numCache>
            </c:numRef>
          </c:val>
        </c:ser>
        <c:axId val="82626296"/>
        <c:axId val="54776767"/>
      </c:areaChart>
      <c:catAx>
        <c:axId val="82626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76767"/>
        <c:auto val="1"/>
        <c:lblAlgn val="ctr"/>
        <c:lblOffset val="100"/>
        <c:noMultiLvlLbl val="0"/>
      </c:catAx>
      <c:valAx>
        <c:axId val="54776767"/>
        <c:scaling>
          <c:orientation val="minMax"/>
        </c:scaling>
        <c:delete val="0"/>
        <c:axPos val="l"/>
        <c:majorGridlines>
          <c:spPr>
            <a:ln w="9360">
              <a:solidFill>
                <a:srgbClr val="3c4043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1" sz="900" spc="-1" strike="noStrike">
                <a:solidFill>
                  <a:srgbClr val="9aa0a6"/>
                </a:solidFill>
                <a:latin typeface="Arial"/>
              </a:defRPr>
            </a:pPr>
          </a:p>
        </c:txPr>
        <c:crossAx val="82626296"/>
        <c:crosses val="autoZero"/>
        <c:crossBetween val="midCat"/>
      </c:valAx>
      <c:spPr>
        <a:solidFill>
          <a:srgbClr val="0b0b0b"/>
        </a:solidFill>
        <a:ln w="0">
          <a:noFill/>
        </a:ln>
      </c:spPr>
    </c:plotArea>
    <c:plotVisOnly val="1"/>
    <c:dispBlanksAs val="gap"/>
  </c:chart>
  <c:spPr>
    <a:solidFill>
      <a:srgbClr val="0b0b0b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4</xdr:row>
      <xdr:rowOff>0</xdr:rowOff>
    </xdr:from>
    <xdr:to>
      <xdr:col>4</xdr:col>
      <xdr:colOff>520200</xdr:colOff>
      <xdr:row>8</xdr:row>
      <xdr:rowOff>264600</xdr:rowOff>
    </xdr:to>
    <xdr:graphicFrame>
      <xdr:nvGraphicFramePr>
        <xdr:cNvPr id="0" name="Chart 1"/>
        <xdr:cNvGraphicFramePr/>
      </xdr:nvGraphicFramePr>
      <xdr:xfrm>
        <a:off x="1902960" y="1190520"/>
        <a:ext cx="1295640" cy="13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621000</xdr:colOff>
      <xdr:row>8</xdr:row>
      <xdr:rowOff>177840</xdr:rowOff>
    </xdr:to>
    <xdr:graphicFrame>
      <xdr:nvGraphicFramePr>
        <xdr:cNvPr id="1" name="Chart 2"/>
        <xdr:cNvGraphicFramePr/>
      </xdr:nvGraphicFramePr>
      <xdr:xfrm>
        <a:off x="3242160" y="923760"/>
        <a:ext cx="2735640" cy="15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</xdr:row>
      <xdr:rowOff>0</xdr:rowOff>
    </xdr:from>
    <xdr:to>
      <xdr:col>17</xdr:col>
      <xdr:colOff>245520</xdr:colOff>
      <xdr:row>17</xdr:row>
      <xdr:rowOff>146880</xdr:rowOff>
    </xdr:to>
    <xdr:graphicFrame>
      <xdr:nvGraphicFramePr>
        <xdr:cNvPr id="2" name="Chart 3"/>
        <xdr:cNvGraphicFramePr/>
      </xdr:nvGraphicFramePr>
      <xdr:xfrm>
        <a:off x="8317080" y="123840"/>
        <a:ext cx="6659640" cy="44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AC5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3"/>
    <col collapsed="false" customWidth="true" hidden="false" outlineLevel="0" max="19" min="11" style="0" width="13"/>
    <col collapsed="false" customWidth="true" hidden="true" outlineLevel="0" max="29" min="26" style="0" width="13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43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9.5" hidden="false" customHeight="true" outlineLevel="0" collapsed="false">
      <c r="A3" s="1"/>
      <c r="B3" s="3" t="n">
        <v>46023</v>
      </c>
      <c r="C3" s="4" t="s">
        <v>1</v>
      </c>
      <c r="D3" s="3" t="n">
        <v>46387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21" hidden="false" customHeight="true" outlineLevel="0" collapsed="false">
      <c r="A4" s="1"/>
      <c r="B4" s="5" t="s">
        <v>2</v>
      </c>
      <c r="C4" s="6" t="n">
        <f aca="false">SUM($Z$12:$Z$511)</f>
        <v>1</v>
      </c>
      <c r="D4" s="7" t="s">
        <v>3</v>
      </c>
      <c r="E4" s="8" t="n">
        <f aca="false">IF($C$5+$C$6=0,0,$C$5/($C$5+$C$6))</f>
        <v>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21" hidden="false" customHeight="true" outlineLevel="0" collapsed="false">
      <c r="A5" s="1"/>
      <c r="B5" s="9" t="s">
        <v>4</v>
      </c>
      <c r="C5" s="6" t="n">
        <f aca="false">COUNTIFS($Z$12:$Z$511,1,$AB$12:$AB$511,"WIN")</f>
        <v>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21" hidden="false" customHeight="true" outlineLevel="0" collapsed="false">
      <c r="A6" s="1"/>
      <c r="B6" s="10" t="s">
        <v>5</v>
      </c>
      <c r="C6" s="6" t="n">
        <f aca="false">COUNTIFS($Z$12:$Z$511,1,$AB$12:$AB$511,"LOSS")</f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21" hidden="false" customHeight="true" outlineLevel="0" collapsed="false">
      <c r="A7" s="1"/>
      <c r="B7" s="11" t="s">
        <v>6</v>
      </c>
      <c r="C7" s="6" t="n">
        <f aca="false">COUNTIFS($Z$12:$Z$511,1,$AB$12:$AB$511,"BE")</f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21" hidden="false" customHeight="true" outlineLevel="0" collapsed="false">
      <c r="A8" s="1"/>
      <c r="B8" s="12" t="s">
        <v>7</v>
      </c>
      <c r="C8" s="13" t="n">
        <f aca="false">$AA$511-1</f>
        <v>0.00350000000000006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21" hidden="false" customHeight="true" outlineLevel="0" collapsed="false">
      <c r="A9" s="1"/>
      <c r="B9" s="12"/>
      <c r="C9" s="1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9.5" hidden="false" customHeight="true" outlineLevel="0" collapsed="false">
      <c r="A10" s="1"/>
      <c r="B10" s="14" t="s">
        <v>8</v>
      </c>
      <c r="C10" s="14"/>
      <c r="D10" s="14"/>
      <c r="E10" s="14"/>
      <c r="F10" s="14"/>
      <c r="G10" s="14"/>
      <c r="H10" s="14"/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21.75" hidden="false" customHeight="true" outlineLevel="0" collapsed="false">
      <c r="A11" s="1"/>
      <c r="B11" s="15" t="s">
        <v>9</v>
      </c>
      <c r="C11" s="15" t="s">
        <v>10</v>
      </c>
      <c r="D11" s="15" t="s">
        <v>11</v>
      </c>
      <c r="E11" s="15" t="s">
        <v>12</v>
      </c>
      <c r="F11" s="15" t="s">
        <v>13</v>
      </c>
      <c r="G11" s="15" t="s">
        <v>14</v>
      </c>
      <c r="H11" s="15" t="s">
        <v>15</v>
      </c>
      <c r="I11" s="15" t="s">
        <v>16</v>
      </c>
      <c r="J11" s="1"/>
      <c r="K11" s="1"/>
      <c r="L11" s="1"/>
      <c r="M11" s="1"/>
      <c r="N11" s="1"/>
      <c r="O11" s="1"/>
      <c r="P11" s="1"/>
      <c r="Q11" s="1"/>
      <c r="R11" s="1"/>
      <c r="S11" s="1"/>
      <c r="Z11" s="16" t="s">
        <v>17</v>
      </c>
      <c r="AA11" s="16" t="n">
        <v>1</v>
      </c>
      <c r="AB11" s="16" t="s">
        <v>18</v>
      </c>
      <c r="AC11" s="16" t="s">
        <v>19</v>
      </c>
    </row>
    <row r="12" customFormat="false" ht="18.75" hidden="false" customHeight="true" outlineLevel="0" collapsed="false">
      <c r="A12" s="1"/>
      <c r="B12" s="17" t="n">
        <v>46029</v>
      </c>
      <c r="C12" s="18" t="s">
        <v>20</v>
      </c>
      <c r="D12" s="18" t="s">
        <v>21</v>
      </c>
      <c r="E12" s="19" t="n">
        <v>1.4</v>
      </c>
      <c r="F12" s="20" t="s">
        <v>22</v>
      </c>
      <c r="G12" s="21" t="n">
        <f aca="false">IF($AB12="","",Cilësimet!$C$3*(INDEX(Cilësimet!$C$6:$C$10,MATCH($F12,Cilësimet!$A$6:$A$10,0))*N($E12)+INDEX(Cilësimet!$D$6:$D$10,MATCH($F12,Cilësimet!$A$6:$A$10,0))))</f>
        <v>0.0035</v>
      </c>
      <c r="H12" s="22" t="n">
        <f aca="false">IF($Z12=1,$AA12-1,"")</f>
        <v>0.00350000000000006</v>
      </c>
      <c r="I12" s="23" t="s">
        <v>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Z12" s="24" t="n">
        <f aca="false">IF($AB12="",0,IF(ISNUMBER($B12),IF(AND($B12&gt;=N($B$3),OR(NOT(ISNUMBER($D$3)),$B12&lt;=$D$3)),1,0),1))</f>
        <v>1</v>
      </c>
      <c r="AA12" s="24" t="n">
        <f aca="false">$AA11*(1+IF($Z12=1,N($G12),0))</f>
        <v>1.0035</v>
      </c>
      <c r="AB12" s="0" t="str">
        <f aca="false">IF($F12="","",IFERROR(INDEX(Cilësimet!$B$6:$B$10,MATCH($F12,Cilësimet!$A$6:$A$10,0)),""))</f>
        <v>BE</v>
      </c>
    </row>
    <row r="13" customFormat="false" ht="18.75" hidden="false" customHeight="true" outlineLevel="0" collapsed="false">
      <c r="A13" s="1"/>
      <c r="B13" s="17"/>
      <c r="C13" s="18"/>
      <c r="D13" s="18"/>
      <c r="E13" s="19"/>
      <c r="F13" s="20"/>
      <c r="G13" s="21" t="str">
        <f aca="false">IF($AB13="","",Cilësimet!$C$3*(INDEX(Cilësimet!$C$6:$C$10,MATCH($F13,Cilësimet!$A$6:$A$10,0))*N($E13)+INDEX(Cilësimet!$D$6:$D$10,MATCH($F13,Cilësimet!$A$6:$A$10,0))))</f>
        <v/>
      </c>
      <c r="H13" s="22" t="str">
        <f aca="false">IF($Z13=1,$AA13-1,"")</f>
        <v/>
      </c>
      <c r="I13" s="23"/>
      <c r="J13" s="1"/>
      <c r="K13" s="1"/>
      <c r="L13" s="1"/>
      <c r="M13" s="1"/>
      <c r="N13" s="1"/>
      <c r="O13" s="1"/>
      <c r="P13" s="1"/>
      <c r="Q13" s="1"/>
      <c r="R13" s="1"/>
      <c r="S13" s="1"/>
      <c r="Z13" s="24" t="n">
        <f aca="false">IF($AB13="",0,IF(ISNUMBER($B13),IF(AND($B13&gt;=N($B$3),OR(NOT(ISNUMBER($D$3)),$B13&lt;=$D$3)),1,0),1))</f>
        <v>0</v>
      </c>
      <c r="AA13" s="24" t="n">
        <f aca="false">$AA12*(1+IF($Z13=1,N($G13),0))</f>
        <v>1.0035</v>
      </c>
      <c r="AB13" s="0" t="str">
        <f aca="false">IF($F13="","",IFERROR(INDEX(Cilësimet!$B$6:$B$10,MATCH($F13,Cilësimet!$A$6:$A$10,0)),""))</f>
        <v/>
      </c>
    </row>
    <row r="14" customFormat="false" ht="18.75" hidden="false" customHeight="true" outlineLevel="0" collapsed="false">
      <c r="A14" s="1"/>
      <c r="B14" s="17"/>
      <c r="C14" s="18"/>
      <c r="D14" s="18"/>
      <c r="E14" s="19"/>
      <c r="F14" s="20"/>
      <c r="G14" s="21" t="str">
        <f aca="false">IF($AB14="","",Cilësimet!$C$3*(INDEX(Cilësimet!$C$6:$C$10,MATCH($F14,Cilësimet!$A$6:$A$10,0))*N($E14)+INDEX(Cilësimet!$D$6:$D$10,MATCH($F14,Cilësimet!$A$6:$A$10,0))))</f>
        <v/>
      </c>
      <c r="H14" s="22" t="str">
        <f aca="false">IF($Z14=1,$AA14-1,"")</f>
        <v/>
      </c>
      <c r="I14" s="23"/>
      <c r="J14" s="1"/>
      <c r="K14" s="1"/>
      <c r="L14" s="1"/>
      <c r="M14" s="1"/>
      <c r="N14" s="1"/>
      <c r="O14" s="1"/>
      <c r="P14" s="1"/>
      <c r="Q14" s="1"/>
      <c r="R14" s="1"/>
      <c r="S14" s="1"/>
      <c r="Z14" s="24" t="n">
        <f aca="false">IF($AB14="",0,IF(ISNUMBER($B14),IF(AND($B14&gt;=N($B$3),OR(NOT(ISNUMBER($D$3)),$B14&lt;=$D$3)),1,0),1))</f>
        <v>0</v>
      </c>
      <c r="AA14" s="24" t="n">
        <f aca="false">$AA13*(1+IF($Z14=1,N($G14),0))</f>
        <v>1.0035</v>
      </c>
      <c r="AB14" s="0" t="str">
        <f aca="false">IF($F14="","",IFERROR(INDEX(Cilësimet!$B$6:$B$10,MATCH($F14,Cilësimet!$A$6:$A$10,0)),""))</f>
        <v/>
      </c>
    </row>
    <row r="15" customFormat="false" ht="18.75" hidden="false" customHeight="true" outlineLevel="0" collapsed="false">
      <c r="A15" s="1"/>
      <c r="B15" s="17"/>
      <c r="C15" s="18"/>
      <c r="D15" s="18"/>
      <c r="E15" s="19"/>
      <c r="F15" s="20"/>
      <c r="G15" s="21" t="str">
        <f aca="false">IF($AB15="","",Cilësimet!$C$3*(INDEX(Cilësimet!$C$6:$C$10,MATCH($F15,Cilësimet!$A$6:$A$10,0))*N($E15)+INDEX(Cilësimet!$D$6:$D$10,MATCH($F15,Cilësimet!$A$6:$A$10,0))))</f>
        <v/>
      </c>
      <c r="H15" s="22" t="str">
        <f aca="false">IF($Z15=1,$AA15-1,"")</f>
        <v/>
      </c>
      <c r="I15" s="23"/>
      <c r="J15" s="1"/>
      <c r="K15" s="1"/>
      <c r="L15" s="1"/>
      <c r="M15" s="1"/>
      <c r="N15" s="1"/>
      <c r="O15" s="1"/>
      <c r="P15" s="1"/>
      <c r="Q15" s="1"/>
      <c r="R15" s="1"/>
      <c r="S15" s="1"/>
      <c r="Z15" s="24" t="n">
        <f aca="false">IF($AB15="",0,IF(ISNUMBER($B15),IF(AND($B15&gt;=N($B$3),OR(NOT(ISNUMBER($D$3)),$B15&lt;=$D$3)),1,0),1))</f>
        <v>0</v>
      </c>
      <c r="AA15" s="24" t="n">
        <f aca="false">$AA14*(1+IF($Z15=1,N($G15),0))</f>
        <v>1.0035</v>
      </c>
      <c r="AB15" s="0" t="str">
        <f aca="false">IF($F15="","",IFERROR(INDEX(Cilësimet!$B$6:$B$10,MATCH($F15,Cilësimet!$A$6:$A$10,0)),""))</f>
        <v/>
      </c>
    </row>
    <row r="16" customFormat="false" ht="18.75" hidden="false" customHeight="true" outlineLevel="0" collapsed="false">
      <c r="A16" s="1"/>
      <c r="B16" s="17"/>
      <c r="C16" s="18"/>
      <c r="D16" s="18"/>
      <c r="E16" s="19"/>
      <c r="F16" s="20"/>
      <c r="G16" s="21" t="str">
        <f aca="false">IF($AB16="","",Cilësimet!$C$3*(INDEX(Cilësimet!$C$6:$C$10,MATCH($F16,Cilësimet!$A$6:$A$10,0))*N($E16)+INDEX(Cilësimet!$D$6:$D$10,MATCH($F16,Cilësimet!$A$6:$A$10,0))))</f>
        <v/>
      </c>
      <c r="H16" s="22" t="str">
        <f aca="false">IF($Z16=1,$AA16-1,"")</f>
        <v/>
      </c>
      <c r="I16" s="23"/>
      <c r="J16" s="1"/>
      <c r="K16" s="1"/>
      <c r="L16" s="1"/>
      <c r="M16" s="1"/>
      <c r="N16" s="1"/>
      <c r="O16" s="1"/>
      <c r="P16" s="1"/>
      <c r="Q16" s="1"/>
      <c r="R16" s="1"/>
      <c r="S16" s="1"/>
      <c r="Z16" s="24" t="n">
        <f aca="false">IF($AB16="",0,IF(ISNUMBER($B16),IF(AND($B16&gt;=N($B$3),OR(NOT(ISNUMBER($D$3)),$B16&lt;=$D$3)),1,0),1))</f>
        <v>0</v>
      </c>
      <c r="AA16" s="24" t="n">
        <f aca="false">$AA15*(1+IF($Z16=1,N($G16),0))</f>
        <v>1.0035</v>
      </c>
      <c r="AB16" s="0" t="str">
        <f aca="false">IF($F16="","",IFERROR(INDEX(Cilësimet!$B$6:$B$10,MATCH($F16,Cilësimet!$A$6:$A$10,0)),""))</f>
        <v/>
      </c>
    </row>
    <row r="17" customFormat="false" ht="18.75" hidden="false" customHeight="true" outlineLevel="0" collapsed="false">
      <c r="A17" s="1"/>
      <c r="B17" s="17"/>
      <c r="C17" s="18"/>
      <c r="D17" s="18"/>
      <c r="E17" s="19"/>
      <c r="F17" s="20"/>
      <c r="G17" s="21" t="str">
        <f aca="false">IF($AB17="","",Cilësimet!$C$3*(INDEX(Cilësimet!$C$6:$C$10,MATCH($F17,Cilësimet!$A$6:$A$10,0))*N($E17)+INDEX(Cilësimet!$D$6:$D$10,MATCH($F17,Cilësimet!$A$6:$A$10,0))))</f>
        <v/>
      </c>
      <c r="H17" s="22" t="str">
        <f aca="false">IF($Z17=1,$AA17-1,"")</f>
        <v/>
      </c>
      <c r="I17" s="23"/>
      <c r="J17" s="1"/>
      <c r="K17" s="1"/>
      <c r="L17" s="1"/>
      <c r="M17" s="1"/>
      <c r="N17" s="1"/>
      <c r="O17" s="1"/>
      <c r="P17" s="1"/>
      <c r="Q17" s="1"/>
      <c r="R17" s="1"/>
      <c r="S17" s="1"/>
      <c r="Z17" s="24" t="n">
        <f aca="false">IF($AB17="",0,IF(ISNUMBER($B17),IF(AND($B17&gt;=N($B$3),OR(NOT(ISNUMBER($D$3)),$B17&lt;=$D$3)),1,0),1))</f>
        <v>0</v>
      </c>
      <c r="AA17" s="24" t="n">
        <f aca="false">$AA16*(1+IF($Z17=1,N($G17),0))</f>
        <v>1.0035</v>
      </c>
      <c r="AB17" s="0" t="str">
        <f aca="false">IF($F17="","",IFERROR(INDEX(Cilësimet!$B$6:$B$10,MATCH($F17,Cilësimet!$A$6:$A$10,0)),""))</f>
        <v/>
      </c>
    </row>
    <row r="18" customFormat="false" ht="18.75" hidden="false" customHeight="true" outlineLevel="0" collapsed="false">
      <c r="A18" s="1"/>
      <c r="B18" s="17"/>
      <c r="C18" s="18"/>
      <c r="D18" s="18"/>
      <c r="E18" s="19"/>
      <c r="F18" s="20"/>
      <c r="G18" s="21" t="str">
        <f aca="false">IF($AB18="","",Cilësimet!$C$3*(INDEX(Cilësimet!$C$6:$C$10,MATCH($F18,Cilësimet!$A$6:$A$10,0))*N($E18)+INDEX(Cilësimet!$D$6:$D$10,MATCH($F18,Cilësimet!$A$6:$A$10,0))))</f>
        <v/>
      </c>
      <c r="H18" s="22" t="str">
        <f aca="false">IF($Z18=1,$AA18-1,"")</f>
        <v/>
      </c>
      <c r="I18" s="23"/>
      <c r="J18" s="1"/>
      <c r="K18" s="1"/>
      <c r="L18" s="1"/>
      <c r="M18" s="1"/>
      <c r="N18" s="1"/>
      <c r="O18" s="1"/>
      <c r="P18" s="1"/>
      <c r="Q18" s="1"/>
      <c r="R18" s="1"/>
      <c r="S18" s="1"/>
      <c r="Z18" s="24" t="n">
        <f aca="false">IF($AB18="",0,IF(ISNUMBER($B18),IF(AND($B18&gt;=N($B$3),OR(NOT(ISNUMBER($D$3)),$B18&lt;=$D$3)),1,0),1))</f>
        <v>0</v>
      </c>
      <c r="AA18" s="24" t="n">
        <f aca="false">$AA17*(1+IF($Z18=1,N($G18),0))</f>
        <v>1.0035</v>
      </c>
      <c r="AB18" s="0" t="str">
        <f aca="false">IF($F18="","",IFERROR(INDEX(Cilësimet!$B$6:$B$10,MATCH($F18,Cilësimet!$A$6:$A$10,0)),""))</f>
        <v/>
      </c>
    </row>
    <row r="19" customFormat="false" ht="18.75" hidden="false" customHeight="true" outlineLevel="0" collapsed="false">
      <c r="A19" s="1"/>
      <c r="B19" s="17"/>
      <c r="C19" s="18"/>
      <c r="D19" s="18"/>
      <c r="E19" s="19"/>
      <c r="F19" s="20"/>
      <c r="G19" s="21" t="str">
        <f aca="false">IF($AB19="","",Cilësimet!$C$3*(INDEX(Cilësimet!$C$6:$C$10,MATCH($F19,Cilësimet!$A$6:$A$10,0))*N($E19)+INDEX(Cilësimet!$D$6:$D$10,MATCH($F19,Cilësimet!$A$6:$A$10,0))))</f>
        <v/>
      </c>
      <c r="H19" s="22" t="str">
        <f aca="false">IF($Z19=1,$AA19-1,"")</f>
        <v/>
      </c>
      <c r="I19" s="23"/>
      <c r="J19" s="1"/>
      <c r="K19" s="1"/>
      <c r="L19" s="1"/>
      <c r="M19" s="1"/>
      <c r="N19" s="1"/>
      <c r="O19" s="1"/>
      <c r="P19" s="1"/>
      <c r="Q19" s="1"/>
      <c r="R19" s="1"/>
      <c r="S19" s="1"/>
      <c r="Z19" s="24" t="n">
        <f aca="false">IF($AB19="",0,IF(ISNUMBER($B19),IF(AND($B19&gt;=N($B$3),OR(NOT(ISNUMBER($D$3)),$B19&lt;=$D$3)),1,0),1))</f>
        <v>0</v>
      </c>
      <c r="AA19" s="24" t="n">
        <f aca="false">$AA18*(1+IF($Z19=1,N($G19),0))</f>
        <v>1.0035</v>
      </c>
      <c r="AB19" s="0" t="str">
        <f aca="false">IF($F19="","",IFERROR(INDEX(Cilësimet!$B$6:$B$10,MATCH($F19,Cilësimet!$A$6:$A$10,0)),""))</f>
        <v/>
      </c>
    </row>
    <row r="20" customFormat="false" ht="18.75" hidden="false" customHeight="true" outlineLevel="0" collapsed="false">
      <c r="A20" s="1"/>
      <c r="B20" s="17"/>
      <c r="C20" s="18"/>
      <c r="D20" s="18"/>
      <c r="E20" s="19"/>
      <c r="F20" s="20"/>
      <c r="G20" s="21" t="str">
        <f aca="false">IF($AB20="","",Cilësimet!$C$3*(INDEX(Cilësimet!$C$6:$C$10,MATCH($F20,Cilësimet!$A$6:$A$10,0))*N($E20)+INDEX(Cilësimet!$D$6:$D$10,MATCH($F20,Cilësimet!$A$6:$A$10,0))))</f>
        <v/>
      </c>
      <c r="H20" s="22" t="str">
        <f aca="false">IF($Z20=1,$AA20-1,"")</f>
        <v/>
      </c>
      <c r="I20" s="23"/>
      <c r="J20" s="1"/>
      <c r="K20" s="1"/>
      <c r="L20" s="1"/>
      <c r="M20" s="1"/>
      <c r="N20" s="1"/>
      <c r="O20" s="1"/>
      <c r="P20" s="1"/>
      <c r="Q20" s="1"/>
      <c r="R20" s="1"/>
      <c r="S20" s="1"/>
      <c r="Z20" s="24" t="n">
        <f aca="false">IF($AB20="",0,IF(ISNUMBER($B20),IF(AND($B20&gt;=N($B$3),OR(NOT(ISNUMBER($D$3)),$B20&lt;=$D$3)),1,0),1))</f>
        <v>0</v>
      </c>
      <c r="AA20" s="24" t="n">
        <f aca="false">$AA19*(1+IF($Z20=1,N($G20),0))</f>
        <v>1.0035</v>
      </c>
      <c r="AB20" s="0" t="str">
        <f aca="false">IF($F20="","",IFERROR(INDEX(Cilësimet!$B$6:$B$10,MATCH($F20,Cilësimet!$A$6:$A$10,0)),""))</f>
        <v/>
      </c>
    </row>
    <row r="21" customFormat="false" ht="18.75" hidden="false" customHeight="true" outlineLevel="0" collapsed="false">
      <c r="A21" s="1"/>
      <c r="B21" s="17"/>
      <c r="C21" s="18"/>
      <c r="D21" s="18"/>
      <c r="E21" s="19"/>
      <c r="F21" s="20"/>
      <c r="G21" s="21" t="str">
        <f aca="false">IF($AB21="","",Cilësimet!$C$3*(INDEX(Cilësimet!$C$6:$C$10,MATCH($F21,Cilësimet!$A$6:$A$10,0))*N($E21)+INDEX(Cilësimet!$D$6:$D$10,MATCH($F21,Cilësimet!$A$6:$A$10,0))))</f>
        <v/>
      </c>
      <c r="H21" s="22" t="str">
        <f aca="false">IF($Z21=1,$AA21-1,"")</f>
        <v/>
      </c>
      <c r="I21" s="23"/>
      <c r="J21" s="1"/>
      <c r="K21" s="1"/>
      <c r="L21" s="1"/>
      <c r="M21" s="1"/>
      <c r="N21" s="1"/>
      <c r="O21" s="1"/>
      <c r="P21" s="1"/>
      <c r="Q21" s="1"/>
      <c r="R21" s="1"/>
      <c r="S21" s="1"/>
      <c r="Z21" s="24" t="n">
        <f aca="false">IF($AB21="",0,IF(ISNUMBER($B21),IF(AND($B21&gt;=N($B$3),OR(NOT(ISNUMBER($D$3)),$B21&lt;=$D$3)),1,0),1))</f>
        <v>0</v>
      </c>
      <c r="AA21" s="24" t="n">
        <f aca="false">$AA20*(1+IF($Z21=1,N($G21),0))</f>
        <v>1.0035</v>
      </c>
      <c r="AB21" s="0" t="str">
        <f aca="false">IF($F21="","",IFERROR(INDEX(Cilësimet!$B$6:$B$10,MATCH($F21,Cilësimet!$A$6:$A$10,0)),""))</f>
        <v/>
      </c>
    </row>
    <row r="22" customFormat="false" ht="18.75" hidden="false" customHeight="true" outlineLevel="0" collapsed="false">
      <c r="A22" s="1"/>
      <c r="B22" s="17"/>
      <c r="C22" s="18"/>
      <c r="D22" s="18"/>
      <c r="E22" s="19"/>
      <c r="F22" s="20"/>
      <c r="G22" s="21" t="str">
        <f aca="false">IF($AB22="","",Cilësimet!$C$3*(INDEX(Cilësimet!$C$6:$C$10,MATCH($F22,Cilësimet!$A$6:$A$10,0))*N($E22)+INDEX(Cilësimet!$D$6:$D$10,MATCH($F22,Cilësimet!$A$6:$A$10,0))))</f>
        <v/>
      </c>
      <c r="H22" s="22" t="str">
        <f aca="false">IF($Z22=1,$AA22-1,"")</f>
        <v/>
      </c>
      <c r="I22" s="23"/>
      <c r="J22" s="1"/>
      <c r="K22" s="1"/>
      <c r="L22" s="1"/>
      <c r="M22" s="1"/>
      <c r="N22" s="1"/>
      <c r="O22" s="1"/>
      <c r="P22" s="1"/>
      <c r="Q22" s="1"/>
      <c r="R22" s="1"/>
      <c r="S22" s="1"/>
      <c r="Z22" s="24" t="n">
        <f aca="false">IF($AB22="",0,IF(ISNUMBER($B22),IF(AND($B22&gt;=N($B$3),OR(NOT(ISNUMBER($D$3)),$B22&lt;=$D$3)),1,0),1))</f>
        <v>0</v>
      </c>
      <c r="AA22" s="24" t="n">
        <f aca="false">$AA21*(1+IF($Z22=1,N($G22),0))</f>
        <v>1.0035</v>
      </c>
      <c r="AB22" s="0" t="str">
        <f aca="false">IF($F22="","",IFERROR(INDEX(Cilësimet!$B$6:$B$10,MATCH($F22,Cilësimet!$A$6:$A$10,0)),""))</f>
        <v/>
      </c>
    </row>
    <row r="23" customFormat="false" ht="18.75" hidden="false" customHeight="true" outlineLevel="0" collapsed="false">
      <c r="A23" s="1"/>
      <c r="B23" s="17"/>
      <c r="C23" s="18"/>
      <c r="D23" s="18"/>
      <c r="E23" s="19"/>
      <c r="F23" s="20"/>
      <c r="G23" s="21" t="str">
        <f aca="false">IF($AB23="","",Cilësimet!$C$3*(INDEX(Cilësimet!$C$6:$C$10,MATCH($F23,Cilësimet!$A$6:$A$10,0))*N($E23)+INDEX(Cilësimet!$D$6:$D$10,MATCH($F23,Cilësimet!$A$6:$A$10,0))))</f>
        <v/>
      </c>
      <c r="H23" s="22" t="str">
        <f aca="false">IF($Z23=1,$AA23-1,"")</f>
        <v/>
      </c>
      <c r="I23" s="23"/>
      <c r="J23" s="1"/>
      <c r="K23" s="1"/>
      <c r="L23" s="1"/>
      <c r="M23" s="1"/>
      <c r="N23" s="1"/>
      <c r="O23" s="1"/>
      <c r="P23" s="1"/>
      <c r="Q23" s="1"/>
      <c r="R23" s="1"/>
      <c r="S23" s="1"/>
      <c r="Z23" s="24" t="n">
        <f aca="false">IF($AB23="",0,IF(ISNUMBER($B23),IF(AND($B23&gt;=N($B$3),OR(NOT(ISNUMBER($D$3)),$B23&lt;=$D$3)),1,0),1))</f>
        <v>0</v>
      </c>
      <c r="AA23" s="24" t="n">
        <f aca="false">$AA22*(1+IF($Z23=1,N($G23),0))</f>
        <v>1.0035</v>
      </c>
      <c r="AB23" s="0" t="str">
        <f aca="false">IF($F23="","",IFERROR(INDEX(Cilësimet!$B$6:$B$10,MATCH($F23,Cilësimet!$A$6:$A$10,0)),""))</f>
        <v/>
      </c>
    </row>
    <row r="24" customFormat="false" ht="18.75" hidden="false" customHeight="true" outlineLevel="0" collapsed="false">
      <c r="A24" s="1"/>
      <c r="B24" s="17"/>
      <c r="C24" s="18"/>
      <c r="D24" s="18"/>
      <c r="E24" s="19"/>
      <c r="F24" s="20"/>
      <c r="G24" s="21" t="str">
        <f aca="false">IF($AB24="","",Cilësimet!$C$3*(INDEX(Cilësimet!$C$6:$C$10,MATCH($F24,Cilësimet!$A$6:$A$10,0))*N($E24)+INDEX(Cilësimet!$D$6:$D$10,MATCH($F24,Cilësimet!$A$6:$A$10,0))))</f>
        <v/>
      </c>
      <c r="H24" s="22" t="str">
        <f aca="false">IF($Z24=1,$AA24-1,"")</f>
        <v/>
      </c>
      <c r="I24" s="23"/>
      <c r="J24" s="1"/>
      <c r="K24" s="1"/>
      <c r="L24" s="1"/>
      <c r="M24" s="1"/>
      <c r="N24" s="1"/>
      <c r="O24" s="1"/>
      <c r="P24" s="1"/>
      <c r="Q24" s="1"/>
      <c r="R24" s="1"/>
      <c r="S24" s="1"/>
      <c r="Z24" s="24" t="n">
        <f aca="false">IF($AB24="",0,IF(ISNUMBER($B24),IF(AND($B24&gt;=N($B$3),OR(NOT(ISNUMBER($D$3)),$B24&lt;=$D$3)),1,0),1))</f>
        <v>0</v>
      </c>
      <c r="AA24" s="24" t="n">
        <f aca="false">$AA23*(1+IF($Z24=1,N($G24),0))</f>
        <v>1.0035</v>
      </c>
      <c r="AB24" s="0" t="str">
        <f aca="false">IF($F24="","",IFERROR(INDEX(Cilësimet!$B$6:$B$10,MATCH($F24,Cilësimet!$A$6:$A$10,0)),""))</f>
        <v/>
      </c>
    </row>
    <row r="25" customFormat="false" ht="18.75" hidden="false" customHeight="true" outlineLevel="0" collapsed="false">
      <c r="A25" s="1"/>
      <c r="B25" s="17"/>
      <c r="C25" s="18"/>
      <c r="D25" s="18"/>
      <c r="E25" s="19"/>
      <c r="F25" s="20"/>
      <c r="G25" s="21" t="str">
        <f aca="false">IF($AB25="","",Cilësimet!$C$3*(INDEX(Cilësimet!$C$6:$C$10,MATCH($F25,Cilësimet!$A$6:$A$10,0))*N($E25)+INDEX(Cilësimet!$D$6:$D$10,MATCH($F25,Cilësimet!$A$6:$A$10,0))))</f>
        <v/>
      </c>
      <c r="H25" s="22" t="str">
        <f aca="false">IF($Z25=1,$AA25-1,"")</f>
        <v/>
      </c>
      <c r="I25" s="23"/>
      <c r="J25" s="1"/>
      <c r="K25" s="1"/>
      <c r="L25" s="1"/>
      <c r="M25" s="1"/>
      <c r="N25" s="1"/>
      <c r="O25" s="1"/>
      <c r="P25" s="1"/>
      <c r="Q25" s="1"/>
      <c r="R25" s="1"/>
      <c r="S25" s="1"/>
      <c r="Z25" s="24" t="n">
        <f aca="false">IF($AB25="",0,IF(ISNUMBER($B25),IF(AND($B25&gt;=N($B$3),OR(NOT(ISNUMBER($D$3)),$B25&lt;=$D$3)),1,0),1))</f>
        <v>0</v>
      </c>
      <c r="AA25" s="24" t="n">
        <f aca="false">$AA24*(1+IF($Z25=1,N($G25),0))</f>
        <v>1.0035</v>
      </c>
      <c r="AB25" s="0" t="str">
        <f aca="false">IF($F25="","",IFERROR(INDEX(Cilësimet!$B$6:$B$10,MATCH($F25,Cilësimet!$A$6:$A$10,0)),""))</f>
        <v/>
      </c>
    </row>
    <row r="26" customFormat="false" ht="18.75" hidden="false" customHeight="true" outlineLevel="0" collapsed="false">
      <c r="A26" s="1"/>
      <c r="B26" s="17"/>
      <c r="C26" s="18"/>
      <c r="D26" s="18"/>
      <c r="E26" s="19"/>
      <c r="F26" s="20"/>
      <c r="G26" s="21" t="str">
        <f aca="false">IF($AB26="","",Cilësimet!$C$3*(INDEX(Cilësimet!$C$6:$C$10,MATCH($F26,Cilësimet!$A$6:$A$10,0))*N($E26)+INDEX(Cilësimet!$D$6:$D$10,MATCH($F26,Cilësimet!$A$6:$A$10,0))))</f>
        <v/>
      </c>
      <c r="H26" s="22" t="str">
        <f aca="false">IF($Z26=1,$AA26-1,"")</f>
        <v/>
      </c>
      <c r="I26" s="23"/>
      <c r="J26" s="1"/>
      <c r="K26" s="1"/>
      <c r="L26" s="1"/>
      <c r="M26" s="1"/>
      <c r="N26" s="1"/>
      <c r="O26" s="1"/>
      <c r="P26" s="1"/>
      <c r="Q26" s="1"/>
      <c r="R26" s="1"/>
      <c r="S26" s="1"/>
      <c r="Z26" s="24" t="n">
        <f aca="false">IF($AB26="",0,IF(ISNUMBER($B26),IF(AND($B26&gt;=N($B$3),OR(NOT(ISNUMBER($D$3)),$B26&lt;=$D$3)),1,0),1))</f>
        <v>0</v>
      </c>
      <c r="AA26" s="24" t="n">
        <f aca="false">$AA25*(1+IF($Z26=1,N($G26),0))</f>
        <v>1.0035</v>
      </c>
      <c r="AB26" s="0" t="str">
        <f aca="false">IF($F26="","",IFERROR(INDEX(Cilësimet!$B$6:$B$10,MATCH($F26,Cilësimet!$A$6:$A$10,0)),""))</f>
        <v/>
      </c>
    </row>
    <row r="27" customFormat="false" ht="18.75" hidden="false" customHeight="true" outlineLevel="0" collapsed="false">
      <c r="A27" s="1"/>
      <c r="B27" s="17"/>
      <c r="C27" s="18"/>
      <c r="D27" s="18"/>
      <c r="E27" s="19"/>
      <c r="F27" s="20"/>
      <c r="G27" s="21" t="str">
        <f aca="false">IF($AB27="","",Cilësimet!$C$3*(INDEX(Cilësimet!$C$6:$C$10,MATCH($F27,Cilësimet!$A$6:$A$10,0))*N($E27)+INDEX(Cilësimet!$D$6:$D$10,MATCH($F27,Cilësimet!$A$6:$A$10,0))))</f>
        <v/>
      </c>
      <c r="H27" s="22" t="str">
        <f aca="false">IF($Z27=1,$AA27-1,"")</f>
        <v/>
      </c>
      <c r="I27" s="23"/>
      <c r="J27" s="1"/>
      <c r="K27" s="1"/>
      <c r="L27" s="1"/>
      <c r="M27" s="1"/>
      <c r="N27" s="1"/>
      <c r="O27" s="1"/>
      <c r="P27" s="1"/>
      <c r="Q27" s="1"/>
      <c r="R27" s="1"/>
      <c r="S27" s="1"/>
      <c r="Z27" s="24" t="n">
        <f aca="false">IF($AB27="",0,IF(ISNUMBER($B27),IF(AND($B27&gt;=N($B$3),OR(NOT(ISNUMBER($D$3)),$B27&lt;=$D$3)),1,0),1))</f>
        <v>0</v>
      </c>
      <c r="AA27" s="24" t="n">
        <f aca="false">$AA26*(1+IF($Z27=1,N($G27),0))</f>
        <v>1.0035</v>
      </c>
      <c r="AB27" s="0" t="str">
        <f aca="false">IF($F27="","",IFERROR(INDEX(Cilësimet!$B$6:$B$10,MATCH($F27,Cilësimet!$A$6:$A$10,0)),""))</f>
        <v/>
      </c>
    </row>
    <row r="28" customFormat="false" ht="18.75" hidden="false" customHeight="true" outlineLevel="0" collapsed="false">
      <c r="A28" s="1"/>
      <c r="B28" s="17"/>
      <c r="C28" s="18"/>
      <c r="D28" s="18"/>
      <c r="E28" s="19"/>
      <c r="F28" s="20"/>
      <c r="G28" s="21" t="str">
        <f aca="false">IF($AB28="","",Cilësimet!$C$3*(INDEX(Cilësimet!$C$6:$C$10,MATCH($F28,Cilësimet!$A$6:$A$10,0))*N($E28)+INDEX(Cilësimet!$D$6:$D$10,MATCH($F28,Cilësimet!$A$6:$A$10,0))))</f>
        <v/>
      </c>
      <c r="H28" s="22" t="str">
        <f aca="false">IF($Z28=1,$AA28-1,"")</f>
        <v/>
      </c>
      <c r="I28" s="23"/>
      <c r="J28" s="1"/>
      <c r="K28" s="1"/>
      <c r="L28" s="1"/>
      <c r="M28" s="1"/>
      <c r="N28" s="1"/>
      <c r="O28" s="1"/>
      <c r="P28" s="1"/>
      <c r="Q28" s="1"/>
      <c r="R28" s="1"/>
      <c r="S28" s="1"/>
      <c r="Z28" s="24" t="n">
        <f aca="false">IF($AB28="",0,IF(ISNUMBER($B28),IF(AND($B28&gt;=N($B$3),OR(NOT(ISNUMBER($D$3)),$B28&lt;=$D$3)),1,0),1))</f>
        <v>0</v>
      </c>
      <c r="AA28" s="24" t="n">
        <f aca="false">$AA27*(1+IF($Z28=1,N($G28),0))</f>
        <v>1.0035</v>
      </c>
      <c r="AB28" s="0" t="str">
        <f aca="false">IF($F28="","",IFERROR(INDEX(Cilësimet!$B$6:$B$10,MATCH($F28,Cilësimet!$A$6:$A$10,0)),""))</f>
        <v/>
      </c>
    </row>
    <row r="29" customFormat="false" ht="18.75" hidden="false" customHeight="true" outlineLevel="0" collapsed="false">
      <c r="A29" s="1"/>
      <c r="B29" s="17"/>
      <c r="C29" s="18"/>
      <c r="D29" s="18"/>
      <c r="E29" s="19"/>
      <c r="F29" s="20"/>
      <c r="G29" s="21" t="str">
        <f aca="false">IF($AB29="","",Cilësimet!$C$3*(INDEX(Cilësimet!$C$6:$C$10,MATCH($F29,Cilësimet!$A$6:$A$10,0))*N($E29)+INDEX(Cilësimet!$D$6:$D$10,MATCH($F29,Cilësimet!$A$6:$A$10,0))))</f>
        <v/>
      </c>
      <c r="H29" s="22" t="str">
        <f aca="false">IF($Z29=1,$AA29-1,"")</f>
        <v/>
      </c>
      <c r="I29" s="23"/>
      <c r="J29" s="1"/>
      <c r="K29" s="25" t="s">
        <v>24</v>
      </c>
      <c r="L29" s="1"/>
      <c r="M29" s="1"/>
      <c r="N29" s="1"/>
      <c r="O29" s="1"/>
      <c r="P29" s="1"/>
      <c r="Q29" s="1"/>
      <c r="R29" s="1"/>
      <c r="S29" s="1"/>
      <c r="Z29" s="24" t="n">
        <f aca="false">IF($AB29="",0,IF(ISNUMBER($B29),IF(AND($B29&gt;=N($B$3),OR(NOT(ISNUMBER($D$3)),$B29&lt;=$D$3)),1,0),1))</f>
        <v>0</v>
      </c>
      <c r="AA29" s="24" t="n">
        <f aca="false">$AA28*(1+IF($Z29=1,N($G29),0))</f>
        <v>1.0035</v>
      </c>
      <c r="AB29" s="0" t="str">
        <f aca="false">IF($F29="","",IFERROR(INDEX(Cilësimet!$B$6:$B$10,MATCH($F29,Cilësimet!$A$6:$A$10,0)),""))</f>
        <v/>
      </c>
    </row>
    <row r="30" customFormat="false" ht="18.75" hidden="false" customHeight="true" outlineLevel="0" collapsed="false">
      <c r="A30" s="1"/>
      <c r="B30" s="17"/>
      <c r="C30" s="18"/>
      <c r="D30" s="18"/>
      <c r="E30" s="19"/>
      <c r="F30" s="20"/>
      <c r="G30" s="21" t="str">
        <f aca="false">IF($AB30="","",Cilësimet!$C$3*(INDEX(Cilësimet!$C$6:$C$10,MATCH($F30,Cilësimet!$A$6:$A$10,0))*N($E30)+INDEX(Cilësimet!$D$6:$D$10,MATCH($F30,Cilësimet!$A$6:$A$10,0))))</f>
        <v/>
      </c>
      <c r="H30" s="22" t="str">
        <f aca="false">IF($Z30=1,$AA30-1,"")</f>
        <v/>
      </c>
      <c r="I30" s="23"/>
      <c r="J30" s="1"/>
      <c r="K30" s="25" t="s">
        <v>25</v>
      </c>
      <c r="L30" s="1"/>
      <c r="M30" s="1"/>
      <c r="N30" s="1"/>
      <c r="O30" s="1"/>
      <c r="P30" s="1"/>
      <c r="Q30" s="1"/>
      <c r="R30" s="1"/>
      <c r="S30" s="1"/>
      <c r="Z30" s="24" t="n">
        <f aca="false">IF($AB30="",0,IF(ISNUMBER($B30),IF(AND($B30&gt;=N($B$3),OR(NOT(ISNUMBER($D$3)),$B30&lt;=$D$3)),1,0),1))</f>
        <v>0</v>
      </c>
      <c r="AA30" s="24" t="n">
        <f aca="false">$AA29*(1+IF($Z30=1,N($G30),0))</f>
        <v>1.0035</v>
      </c>
      <c r="AB30" s="0" t="str">
        <f aca="false">IF($F30="","",IFERROR(INDEX(Cilësimet!$B$6:$B$10,MATCH($F30,Cilësimet!$A$6:$A$10,0)),""))</f>
        <v/>
      </c>
    </row>
    <row r="31" customFormat="false" ht="18.75" hidden="false" customHeight="true" outlineLevel="0" collapsed="false">
      <c r="A31" s="1"/>
      <c r="B31" s="17"/>
      <c r="C31" s="18"/>
      <c r="D31" s="18"/>
      <c r="E31" s="19"/>
      <c r="F31" s="20"/>
      <c r="G31" s="21" t="str">
        <f aca="false">IF($AB31="","",Cilësimet!$C$3*(INDEX(Cilësimet!$C$6:$C$10,MATCH($F31,Cilësimet!$A$6:$A$10,0))*N($E31)+INDEX(Cilësimet!$D$6:$D$10,MATCH($F31,Cilësimet!$A$6:$A$10,0))))</f>
        <v/>
      </c>
      <c r="H31" s="22" t="str">
        <f aca="false">IF($Z31=1,$AA31-1,"")</f>
        <v/>
      </c>
      <c r="I31" s="23"/>
      <c r="J31" s="1"/>
      <c r="K31" s="1"/>
      <c r="L31" s="1"/>
      <c r="M31" s="1"/>
      <c r="N31" s="1"/>
      <c r="O31" s="1"/>
      <c r="P31" s="1"/>
      <c r="Q31" s="1"/>
      <c r="R31" s="1"/>
      <c r="S31" s="1"/>
      <c r="Z31" s="24" t="n">
        <f aca="false">IF($AB31="",0,IF(ISNUMBER($B31),IF(AND($B31&gt;=N($B$3),OR(NOT(ISNUMBER($D$3)),$B31&lt;=$D$3)),1,0),1))</f>
        <v>0</v>
      </c>
      <c r="AA31" s="24" t="n">
        <f aca="false">$AA30*(1+IF($Z31=1,N($G31),0))</f>
        <v>1.0035</v>
      </c>
      <c r="AB31" s="0" t="str">
        <f aca="false">IF($F31="","",IFERROR(INDEX(Cilësimet!$B$6:$B$10,MATCH($F31,Cilësimet!$A$6:$A$10,0)),""))</f>
        <v/>
      </c>
    </row>
    <row r="32" customFormat="false" ht="18.75" hidden="false" customHeight="true" outlineLevel="0" collapsed="false">
      <c r="A32" s="1"/>
      <c r="B32" s="17"/>
      <c r="C32" s="18"/>
      <c r="D32" s="18"/>
      <c r="E32" s="19"/>
      <c r="F32" s="20"/>
      <c r="G32" s="21" t="str">
        <f aca="false">IF($AB32="","",Cilësimet!$C$3*(INDEX(Cilësimet!$C$6:$C$10,MATCH($F32,Cilësimet!$A$6:$A$10,0))*N($E32)+INDEX(Cilësimet!$D$6:$D$10,MATCH($F32,Cilësimet!$A$6:$A$10,0))))</f>
        <v/>
      </c>
      <c r="H32" s="22" t="str">
        <f aca="false">IF($Z32=1,$AA32-1,"")</f>
        <v/>
      </c>
      <c r="I32" s="23"/>
      <c r="J32" s="1"/>
      <c r="K32" s="1"/>
      <c r="L32" s="1"/>
      <c r="M32" s="1"/>
      <c r="N32" s="1"/>
      <c r="O32" s="1"/>
      <c r="P32" s="1"/>
      <c r="Q32" s="1"/>
      <c r="R32" s="1"/>
      <c r="S32" s="1"/>
      <c r="Z32" s="24" t="n">
        <f aca="false">IF($AB32="",0,IF(ISNUMBER($B32),IF(AND($B32&gt;=N($B$3),OR(NOT(ISNUMBER($D$3)),$B32&lt;=$D$3)),1,0),1))</f>
        <v>0</v>
      </c>
      <c r="AA32" s="24" t="n">
        <f aca="false">$AA31*(1+IF($Z32=1,N($G32),0))</f>
        <v>1.0035</v>
      </c>
      <c r="AB32" s="0" t="str">
        <f aca="false">IF($F32="","",IFERROR(INDEX(Cilësimet!$B$6:$B$10,MATCH($F32,Cilësimet!$A$6:$A$10,0)),""))</f>
        <v/>
      </c>
    </row>
    <row r="33" customFormat="false" ht="18.75" hidden="false" customHeight="true" outlineLevel="0" collapsed="false">
      <c r="A33" s="1"/>
      <c r="B33" s="17"/>
      <c r="C33" s="18"/>
      <c r="D33" s="18"/>
      <c r="E33" s="19"/>
      <c r="F33" s="20"/>
      <c r="G33" s="21" t="str">
        <f aca="false">IF($AB33="","",Cilësimet!$C$3*(INDEX(Cilësimet!$C$6:$C$10,MATCH($F33,Cilësimet!$A$6:$A$10,0))*N($E33)+INDEX(Cilësimet!$D$6:$D$10,MATCH($F33,Cilësimet!$A$6:$A$10,0))))</f>
        <v/>
      </c>
      <c r="H33" s="22" t="str">
        <f aca="false">IF($Z33=1,$AA33-1,"")</f>
        <v/>
      </c>
      <c r="I33" s="23"/>
      <c r="J33" s="1"/>
      <c r="K33" s="1"/>
      <c r="L33" s="1"/>
      <c r="M33" s="1"/>
      <c r="N33" s="1"/>
      <c r="O33" s="1"/>
      <c r="P33" s="1"/>
      <c r="Q33" s="1"/>
      <c r="R33" s="1"/>
      <c r="S33" s="1"/>
      <c r="Z33" s="24" t="n">
        <f aca="false">IF($AB33="",0,IF(ISNUMBER($B33),IF(AND($B33&gt;=N($B$3),OR(NOT(ISNUMBER($D$3)),$B33&lt;=$D$3)),1,0),1))</f>
        <v>0</v>
      </c>
      <c r="AA33" s="24" t="n">
        <f aca="false">$AA32*(1+IF($Z33=1,N($G33),0))</f>
        <v>1.0035</v>
      </c>
      <c r="AB33" s="0" t="str">
        <f aca="false">IF($F33="","",IFERROR(INDEX(Cilësimet!$B$6:$B$10,MATCH($F33,Cilësimet!$A$6:$A$10,0)),""))</f>
        <v/>
      </c>
    </row>
    <row r="34" customFormat="false" ht="18.75" hidden="false" customHeight="true" outlineLevel="0" collapsed="false">
      <c r="A34" s="1"/>
      <c r="B34" s="17"/>
      <c r="C34" s="18"/>
      <c r="D34" s="18"/>
      <c r="E34" s="19"/>
      <c r="F34" s="20"/>
      <c r="G34" s="21" t="str">
        <f aca="false">IF($AB34="","",Cilësimet!$C$3*(INDEX(Cilësimet!$C$6:$C$10,MATCH($F34,Cilësimet!$A$6:$A$10,0))*N($E34)+INDEX(Cilësimet!$D$6:$D$10,MATCH($F34,Cilësimet!$A$6:$A$10,0))))</f>
        <v/>
      </c>
      <c r="H34" s="22" t="str">
        <f aca="false">IF($Z34=1,$AA34-1,"")</f>
        <v/>
      </c>
      <c r="I34" s="23"/>
      <c r="J34" s="1"/>
      <c r="K34" s="1"/>
      <c r="L34" s="1"/>
      <c r="M34" s="1"/>
      <c r="N34" s="1"/>
      <c r="O34" s="1"/>
      <c r="P34" s="1"/>
      <c r="Q34" s="1"/>
      <c r="R34" s="1"/>
      <c r="S34" s="1"/>
      <c r="Z34" s="24" t="n">
        <f aca="false">IF($AB34="",0,IF(ISNUMBER($B34),IF(AND($B34&gt;=N($B$3),OR(NOT(ISNUMBER($D$3)),$B34&lt;=$D$3)),1,0),1))</f>
        <v>0</v>
      </c>
      <c r="AA34" s="24" t="n">
        <f aca="false">$AA33*(1+IF($Z34=1,N($G34),0))</f>
        <v>1.0035</v>
      </c>
      <c r="AB34" s="0" t="str">
        <f aca="false">IF($F34="","",IFERROR(INDEX(Cilësimet!$B$6:$B$10,MATCH($F34,Cilësimet!$A$6:$A$10,0)),""))</f>
        <v/>
      </c>
    </row>
    <row r="35" customFormat="false" ht="18.75" hidden="false" customHeight="true" outlineLevel="0" collapsed="false">
      <c r="A35" s="1"/>
      <c r="B35" s="17"/>
      <c r="C35" s="18"/>
      <c r="D35" s="18"/>
      <c r="E35" s="19"/>
      <c r="F35" s="20"/>
      <c r="G35" s="21" t="str">
        <f aca="false">IF($AB35="","",Cilësimet!$C$3*(INDEX(Cilësimet!$C$6:$C$10,MATCH($F35,Cilësimet!$A$6:$A$10,0))*N($E35)+INDEX(Cilësimet!$D$6:$D$10,MATCH($F35,Cilësimet!$A$6:$A$10,0))))</f>
        <v/>
      </c>
      <c r="H35" s="22" t="str">
        <f aca="false">IF($Z35=1,$AA35-1,"")</f>
        <v/>
      </c>
      <c r="I35" s="23"/>
      <c r="J35" s="1"/>
      <c r="K35" s="1"/>
      <c r="L35" s="1"/>
      <c r="M35" s="1"/>
      <c r="N35" s="1"/>
      <c r="O35" s="1"/>
      <c r="P35" s="1"/>
      <c r="Q35" s="1"/>
      <c r="R35" s="1"/>
      <c r="S35" s="1"/>
      <c r="Z35" s="24" t="n">
        <f aca="false">IF($AB35="",0,IF(ISNUMBER($B35),IF(AND($B35&gt;=N($B$3),OR(NOT(ISNUMBER($D$3)),$B35&lt;=$D$3)),1,0),1))</f>
        <v>0</v>
      </c>
      <c r="AA35" s="24" t="n">
        <f aca="false">$AA34*(1+IF($Z35=1,N($G35),0))</f>
        <v>1.0035</v>
      </c>
      <c r="AB35" s="0" t="str">
        <f aca="false">IF($F35="","",IFERROR(INDEX(Cilësimet!$B$6:$B$10,MATCH($F35,Cilësimet!$A$6:$A$10,0)),""))</f>
        <v/>
      </c>
    </row>
    <row r="36" customFormat="false" ht="18.75" hidden="false" customHeight="true" outlineLevel="0" collapsed="false">
      <c r="A36" s="1"/>
      <c r="B36" s="17"/>
      <c r="C36" s="18"/>
      <c r="D36" s="18"/>
      <c r="E36" s="19"/>
      <c r="F36" s="20"/>
      <c r="G36" s="21" t="str">
        <f aca="false">IF($AB36="","",Cilësimet!$C$3*(INDEX(Cilësimet!$C$6:$C$10,MATCH($F36,Cilësimet!$A$6:$A$10,0))*N($E36)+INDEX(Cilësimet!$D$6:$D$10,MATCH($F36,Cilësimet!$A$6:$A$10,0))))</f>
        <v/>
      </c>
      <c r="H36" s="22" t="str">
        <f aca="false">IF($Z36=1,$AA36-1,"")</f>
        <v/>
      </c>
      <c r="I36" s="23"/>
      <c r="J36" s="1"/>
      <c r="K36" s="1"/>
      <c r="L36" s="1"/>
      <c r="M36" s="1"/>
      <c r="N36" s="1"/>
      <c r="O36" s="1"/>
      <c r="P36" s="1"/>
      <c r="Q36" s="1"/>
      <c r="R36" s="1"/>
      <c r="S36" s="1"/>
      <c r="Z36" s="24" t="n">
        <f aca="false">IF($AB36="",0,IF(ISNUMBER($B36),IF(AND($B36&gt;=N($B$3),OR(NOT(ISNUMBER($D$3)),$B36&lt;=$D$3)),1,0),1))</f>
        <v>0</v>
      </c>
      <c r="AA36" s="24" t="n">
        <f aca="false">$AA35*(1+IF($Z36=1,N($G36),0))</f>
        <v>1.0035</v>
      </c>
      <c r="AB36" s="0" t="str">
        <f aca="false">IF($F36="","",IFERROR(INDEX(Cilësimet!$B$6:$B$10,MATCH($F36,Cilësimet!$A$6:$A$10,0)),""))</f>
        <v/>
      </c>
    </row>
    <row r="37" customFormat="false" ht="18.75" hidden="false" customHeight="true" outlineLevel="0" collapsed="false">
      <c r="A37" s="1"/>
      <c r="B37" s="17"/>
      <c r="C37" s="18"/>
      <c r="D37" s="18"/>
      <c r="E37" s="19"/>
      <c r="F37" s="20"/>
      <c r="G37" s="21" t="str">
        <f aca="false">IF($AB37="","",Cilësimet!$C$3*(INDEX(Cilësimet!$C$6:$C$10,MATCH($F37,Cilësimet!$A$6:$A$10,0))*N($E37)+INDEX(Cilësimet!$D$6:$D$10,MATCH($F37,Cilësimet!$A$6:$A$10,0))))</f>
        <v/>
      </c>
      <c r="H37" s="22" t="str">
        <f aca="false">IF($Z37=1,$AA37-1,"")</f>
        <v/>
      </c>
      <c r="I37" s="23"/>
      <c r="J37" s="1"/>
      <c r="K37" s="1"/>
      <c r="L37" s="1"/>
      <c r="M37" s="1"/>
      <c r="N37" s="1"/>
      <c r="O37" s="1"/>
      <c r="P37" s="1"/>
      <c r="Q37" s="1"/>
      <c r="R37" s="1"/>
      <c r="S37" s="1"/>
      <c r="Z37" s="24" t="n">
        <f aca="false">IF($AB37="",0,IF(ISNUMBER($B37),IF(AND($B37&gt;=N($B$3),OR(NOT(ISNUMBER($D$3)),$B37&lt;=$D$3)),1,0),1))</f>
        <v>0</v>
      </c>
      <c r="AA37" s="24" t="n">
        <f aca="false">$AA36*(1+IF($Z37=1,N($G37),0))</f>
        <v>1.0035</v>
      </c>
      <c r="AB37" s="0" t="str">
        <f aca="false">IF($F37="","",IFERROR(INDEX(Cilësimet!$B$6:$B$10,MATCH($F37,Cilësimet!$A$6:$A$10,0)),""))</f>
        <v/>
      </c>
    </row>
    <row r="38" customFormat="false" ht="18.75" hidden="false" customHeight="true" outlineLevel="0" collapsed="false">
      <c r="A38" s="1"/>
      <c r="B38" s="17"/>
      <c r="C38" s="18"/>
      <c r="D38" s="18"/>
      <c r="E38" s="19"/>
      <c r="F38" s="20"/>
      <c r="G38" s="21" t="str">
        <f aca="false">IF($AB38="","",Cilësimet!$C$3*(INDEX(Cilësimet!$C$6:$C$10,MATCH($F38,Cilësimet!$A$6:$A$10,0))*N($E38)+INDEX(Cilësimet!$D$6:$D$10,MATCH($F38,Cilësimet!$A$6:$A$10,0))))</f>
        <v/>
      </c>
      <c r="H38" s="22" t="str">
        <f aca="false">IF($Z38=1,$AA38-1,"")</f>
        <v/>
      </c>
      <c r="I38" s="23"/>
      <c r="J38" s="1"/>
      <c r="K38" s="1"/>
      <c r="L38" s="1"/>
      <c r="M38" s="1"/>
      <c r="N38" s="1"/>
      <c r="O38" s="1"/>
      <c r="P38" s="1"/>
      <c r="Q38" s="1"/>
      <c r="R38" s="1"/>
      <c r="S38" s="1"/>
      <c r="Z38" s="24" t="n">
        <f aca="false">IF($AB38="",0,IF(ISNUMBER($B38),IF(AND($B38&gt;=N($B$3),OR(NOT(ISNUMBER($D$3)),$B38&lt;=$D$3)),1,0),1))</f>
        <v>0</v>
      </c>
      <c r="AA38" s="24" t="n">
        <f aca="false">$AA37*(1+IF($Z38=1,N($G38),0))</f>
        <v>1.0035</v>
      </c>
      <c r="AB38" s="0" t="str">
        <f aca="false">IF($F38="","",IFERROR(INDEX(Cilësimet!$B$6:$B$10,MATCH($F38,Cilësimet!$A$6:$A$10,0)),""))</f>
        <v/>
      </c>
    </row>
    <row r="39" customFormat="false" ht="18.75" hidden="false" customHeight="true" outlineLevel="0" collapsed="false">
      <c r="A39" s="1"/>
      <c r="B39" s="17"/>
      <c r="C39" s="18"/>
      <c r="D39" s="18"/>
      <c r="E39" s="19"/>
      <c r="F39" s="20"/>
      <c r="G39" s="21" t="str">
        <f aca="false">IF($AB39="","",Cilësimet!$C$3*(INDEX(Cilësimet!$C$6:$C$10,MATCH($F39,Cilësimet!$A$6:$A$10,0))*N($E39)+INDEX(Cilësimet!$D$6:$D$10,MATCH($F39,Cilësimet!$A$6:$A$10,0))))</f>
        <v/>
      </c>
      <c r="H39" s="22" t="str">
        <f aca="false">IF($Z39=1,$AA39-1,"")</f>
        <v/>
      </c>
      <c r="I39" s="23"/>
      <c r="J39" s="1"/>
      <c r="K39" s="1"/>
      <c r="L39" s="1"/>
      <c r="M39" s="1"/>
      <c r="N39" s="1"/>
      <c r="O39" s="1"/>
      <c r="P39" s="1"/>
      <c r="Q39" s="1"/>
      <c r="R39" s="1"/>
      <c r="S39" s="1"/>
      <c r="Z39" s="24" t="n">
        <f aca="false">IF($AB39="",0,IF(ISNUMBER($B39),IF(AND($B39&gt;=N($B$3),OR(NOT(ISNUMBER($D$3)),$B39&lt;=$D$3)),1,0),1))</f>
        <v>0</v>
      </c>
      <c r="AA39" s="24" t="n">
        <f aca="false">$AA38*(1+IF($Z39=1,N($G39),0))</f>
        <v>1.0035</v>
      </c>
      <c r="AB39" s="0" t="str">
        <f aca="false">IF($F39="","",IFERROR(INDEX(Cilësimet!$B$6:$B$10,MATCH($F39,Cilësimet!$A$6:$A$10,0)),""))</f>
        <v/>
      </c>
    </row>
    <row r="40" customFormat="false" ht="18.75" hidden="false" customHeight="true" outlineLevel="0" collapsed="false">
      <c r="A40" s="1"/>
      <c r="B40" s="17"/>
      <c r="C40" s="18"/>
      <c r="D40" s="18"/>
      <c r="E40" s="19"/>
      <c r="F40" s="20"/>
      <c r="G40" s="21" t="str">
        <f aca="false">IF($AB40="","",Cilësimet!$C$3*(INDEX(Cilësimet!$C$6:$C$10,MATCH($F40,Cilësimet!$A$6:$A$10,0))*N($E40)+INDEX(Cilësimet!$D$6:$D$10,MATCH($F40,Cilësimet!$A$6:$A$10,0))))</f>
        <v/>
      </c>
      <c r="H40" s="22" t="str">
        <f aca="false">IF($Z40=1,$AA40-1,"")</f>
        <v/>
      </c>
      <c r="I40" s="23"/>
      <c r="J40" s="1"/>
      <c r="K40" s="1"/>
      <c r="L40" s="1"/>
      <c r="M40" s="1"/>
      <c r="N40" s="1"/>
      <c r="O40" s="1"/>
      <c r="P40" s="1"/>
      <c r="Q40" s="1"/>
      <c r="R40" s="1"/>
      <c r="S40" s="1"/>
      <c r="Z40" s="24" t="n">
        <f aca="false">IF($AB40="",0,IF(ISNUMBER($B40),IF(AND($B40&gt;=N($B$3),OR(NOT(ISNUMBER($D$3)),$B40&lt;=$D$3)),1,0),1))</f>
        <v>0</v>
      </c>
      <c r="AA40" s="24" t="n">
        <f aca="false">$AA39*(1+IF($Z40=1,N($G40),0))</f>
        <v>1.0035</v>
      </c>
      <c r="AB40" s="0" t="str">
        <f aca="false">IF($F40="","",IFERROR(INDEX(Cilësimet!$B$6:$B$10,MATCH($F40,Cilësimet!$A$6:$A$10,0)),""))</f>
        <v/>
      </c>
    </row>
    <row r="41" customFormat="false" ht="18.75" hidden="false" customHeight="true" outlineLevel="0" collapsed="false">
      <c r="A41" s="1"/>
      <c r="B41" s="17"/>
      <c r="C41" s="18"/>
      <c r="D41" s="18"/>
      <c r="E41" s="19"/>
      <c r="F41" s="20"/>
      <c r="G41" s="21" t="str">
        <f aca="false">IF($AB41="","",Cilësimet!$C$3*(INDEX(Cilësimet!$C$6:$C$10,MATCH($F41,Cilësimet!$A$6:$A$10,0))*N($E41)+INDEX(Cilësimet!$D$6:$D$10,MATCH($F41,Cilësimet!$A$6:$A$10,0))))</f>
        <v/>
      </c>
      <c r="H41" s="22" t="str">
        <f aca="false">IF($Z41=1,$AA41-1,"")</f>
        <v/>
      </c>
      <c r="I41" s="23"/>
      <c r="J41" s="1"/>
      <c r="K41" s="1"/>
      <c r="L41" s="1"/>
      <c r="M41" s="1"/>
      <c r="N41" s="1"/>
      <c r="O41" s="1"/>
      <c r="P41" s="1"/>
      <c r="Q41" s="1"/>
      <c r="R41" s="1"/>
      <c r="S41" s="1"/>
      <c r="Z41" s="24" t="n">
        <f aca="false">IF($AB41="",0,IF(ISNUMBER($B41),IF(AND($B41&gt;=N($B$3),OR(NOT(ISNUMBER($D$3)),$B41&lt;=$D$3)),1,0),1))</f>
        <v>0</v>
      </c>
      <c r="AA41" s="24" t="n">
        <f aca="false">$AA40*(1+IF($Z41=1,N($G41),0))</f>
        <v>1.0035</v>
      </c>
      <c r="AB41" s="0" t="str">
        <f aca="false">IF($F41="","",IFERROR(INDEX(Cilësimet!$B$6:$B$10,MATCH($F41,Cilësimet!$A$6:$A$10,0)),""))</f>
        <v/>
      </c>
    </row>
    <row r="42" customFormat="false" ht="18.75" hidden="false" customHeight="true" outlineLevel="0" collapsed="false">
      <c r="A42" s="1"/>
      <c r="B42" s="17"/>
      <c r="C42" s="18"/>
      <c r="D42" s="18"/>
      <c r="E42" s="19"/>
      <c r="F42" s="20"/>
      <c r="G42" s="21" t="str">
        <f aca="false">IF($AB42="","",Cilësimet!$C$3*(INDEX(Cilësimet!$C$6:$C$10,MATCH($F42,Cilësimet!$A$6:$A$10,0))*N($E42)+INDEX(Cilësimet!$D$6:$D$10,MATCH($F42,Cilësimet!$A$6:$A$10,0))))</f>
        <v/>
      </c>
      <c r="H42" s="22" t="str">
        <f aca="false">IF($Z42=1,$AA42-1,"")</f>
        <v/>
      </c>
      <c r="I42" s="23"/>
      <c r="J42" s="1"/>
      <c r="K42" s="1"/>
      <c r="L42" s="1"/>
      <c r="M42" s="1"/>
      <c r="N42" s="1"/>
      <c r="O42" s="1"/>
      <c r="P42" s="1"/>
      <c r="Q42" s="1"/>
      <c r="R42" s="1"/>
      <c r="S42" s="1"/>
      <c r="Z42" s="24" t="n">
        <f aca="false">IF($AB42="",0,IF(ISNUMBER($B42),IF(AND($B42&gt;=N($B$3),OR(NOT(ISNUMBER($D$3)),$B42&lt;=$D$3)),1,0),1))</f>
        <v>0</v>
      </c>
      <c r="AA42" s="24" t="n">
        <f aca="false">$AA41*(1+IF($Z42=1,N($G42),0))</f>
        <v>1.0035</v>
      </c>
      <c r="AB42" s="0" t="str">
        <f aca="false">IF($F42="","",IFERROR(INDEX(Cilësimet!$B$6:$B$10,MATCH($F42,Cilësimet!$A$6:$A$10,0)),""))</f>
        <v/>
      </c>
    </row>
    <row r="43" customFormat="false" ht="18.75" hidden="false" customHeight="true" outlineLevel="0" collapsed="false">
      <c r="A43" s="1"/>
      <c r="B43" s="17"/>
      <c r="C43" s="18"/>
      <c r="D43" s="18"/>
      <c r="E43" s="19"/>
      <c r="F43" s="20"/>
      <c r="G43" s="21" t="str">
        <f aca="false">IF($AB43="","",Cilësimet!$C$3*(INDEX(Cilësimet!$C$6:$C$10,MATCH($F43,Cilësimet!$A$6:$A$10,0))*N($E43)+INDEX(Cilësimet!$D$6:$D$10,MATCH($F43,Cilësimet!$A$6:$A$10,0))))</f>
        <v/>
      </c>
      <c r="H43" s="22" t="str">
        <f aca="false">IF($Z43=1,$AA43-1,"")</f>
        <v/>
      </c>
      <c r="I43" s="23"/>
      <c r="J43" s="1"/>
      <c r="K43" s="1"/>
      <c r="L43" s="1"/>
      <c r="M43" s="1"/>
      <c r="N43" s="1"/>
      <c r="O43" s="1"/>
      <c r="P43" s="1"/>
      <c r="Q43" s="1"/>
      <c r="R43" s="1"/>
      <c r="S43" s="1"/>
      <c r="Z43" s="24" t="n">
        <f aca="false">IF($AB43="",0,IF(ISNUMBER($B43),IF(AND($B43&gt;=N($B$3),OR(NOT(ISNUMBER($D$3)),$B43&lt;=$D$3)),1,0),1))</f>
        <v>0</v>
      </c>
      <c r="AA43" s="24" t="n">
        <f aca="false">$AA42*(1+IF($Z43=1,N($G43),0))</f>
        <v>1.0035</v>
      </c>
      <c r="AB43" s="0" t="str">
        <f aca="false">IF($F43="","",IFERROR(INDEX(Cilësimet!$B$6:$B$10,MATCH($F43,Cilësimet!$A$6:$A$10,0)),""))</f>
        <v/>
      </c>
    </row>
    <row r="44" customFormat="false" ht="18.75" hidden="false" customHeight="true" outlineLevel="0" collapsed="false">
      <c r="A44" s="1"/>
      <c r="B44" s="17"/>
      <c r="C44" s="18"/>
      <c r="D44" s="18"/>
      <c r="E44" s="19"/>
      <c r="F44" s="20"/>
      <c r="G44" s="21" t="str">
        <f aca="false">IF($AB44="","",Cilësimet!$C$3*(INDEX(Cilësimet!$C$6:$C$10,MATCH($F44,Cilësimet!$A$6:$A$10,0))*N($E44)+INDEX(Cilësimet!$D$6:$D$10,MATCH($F44,Cilësimet!$A$6:$A$10,0))))</f>
        <v/>
      </c>
      <c r="H44" s="22" t="str">
        <f aca="false">IF($Z44=1,$AA44-1,"")</f>
        <v/>
      </c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Z44" s="24" t="n">
        <f aca="false">IF($AB44="",0,IF(ISNUMBER($B44),IF(AND($B44&gt;=N($B$3),OR(NOT(ISNUMBER($D$3)),$B44&lt;=$D$3)),1,0),1))</f>
        <v>0</v>
      </c>
      <c r="AA44" s="24" t="n">
        <f aca="false">$AA43*(1+IF($Z44=1,N($G44),0))</f>
        <v>1.0035</v>
      </c>
      <c r="AB44" s="0" t="str">
        <f aca="false">IF($F44="","",IFERROR(INDEX(Cilësimet!$B$6:$B$10,MATCH($F44,Cilësimet!$A$6:$A$10,0)),""))</f>
        <v/>
      </c>
    </row>
    <row r="45" customFormat="false" ht="18.75" hidden="false" customHeight="true" outlineLevel="0" collapsed="false">
      <c r="A45" s="1"/>
      <c r="B45" s="17"/>
      <c r="C45" s="18"/>
      <c r="D45" s="18"/>
      <c r="E45" s="19"/>
      <c r="F45" s="20"/>
      <c r="G45" s="21" t="str">
        <f aca="false">IF($AB45="","",Cilësimet!$C$3*(INDEX(Cilësimet!$C$6:$C$10,MATCH($F45,Cilësimet!$A$6:$A$10,0))*N($E45)+INDEX(Cilësimet!$D$6:$D$10,MATCH($F45,Cilësimet!$A$6:$A$10,0))))</f>
        <v/>
      </c>
      <c r="H45" s="22" t="str">
        <f aca="false">IF($Z45=1,$AA45-1,"")</f>
        <v/>
      </c>
      <c r="I45" s="23"/>
      <c r="J45" s="1"/>
      <c r="K45" s="1"/>
      <c r="L45" s="1"/>
      <c r="M45" s="1"/>
      <c r="N45" s="1"/>
      <c r="O45" s="1"/>
      <c r="P45" s="1"/>
      <c r="Q45" s="1"/>
      <c r="R45" s="1"/>
      <c r="S45" s="1"/>
      <c r="Z45" s="24" t="n">
        <f aca="false">IF($AB45="",0,IF(ISNUMBER($B45),IF(AND($B45&gt;=N($B$3),OR(NOT(ISNUMBER($D$3)),$B45&lt;=$D$3)),1,0),1))</f>
        <v>0</v>
      </c>
      <c r="AA45" s="24" t="n">
        <f aca="false">$AA44*(1+IF($Z45=1,N($G45),0))</f>
        <v>1.0035</v>
      </c>
      <c r="AB45" s="0" t="str">
        <f aca="false">IF($F45="","",IFERROR(INDEX(Cilësimet!$B$6:$B$10,MATCH($F45,Cilësimet!$A$6:$A$10,0)),""))</f>
        <v/>
      </c>
    </row>
    <row r="46" customFormat="false" ht="18.75" hidden="false" customHeight="true" outlineLevel="0" collapsed="false">
      <c r="A46" s="1"/>
      <c r="B46" s="17"/>
      <c r="C46" s="18"/>
      <c r="D46" s="18"/>
      <c r="E46" s="19"/>
      <c r="F46" s="20"/>
      <c r="G46" s="21" t="str">
        <f aca="false">IF($AB46="","",Cilësimet!$C$3*(INDEX(Cilësimet!$C$6:$C$10,MATCH($F46,Cilësimet!$A$6:$A$10,0))*N($E46)+INDEX(Cilësimet!$D$6:$D$10,MATCH($F46,Cilësimet!$A$6:$A$10,0))))</f>
        <v/>
      </c>
      <c r="H46" s="22" t="str">
        <f aca="false">IF($Z46=1,$AA46-1,"")</f>
        <v/>
      </c>
      <c r="I46" s="23"/>
      <c r="J46" s="1"/>
      <c r="K46" s="1"/>
      <c r="L46" s="1"/>
      <c r="M46" s="1"/>
      <c r="N46" s="1"/>
      <c r="O46" s="1"/>
      <c r="P46" s="1"/>
      <c r="Q46" s="1"/>
      <c r="R46" s="1"/>
      <c r="S46" s="1"/>
      <c r="Z46" s="24" t="n">
        <f aca="false">IF($AB46="",0,IF(ISNUMBER($B46),IF(AND($B46&gt;=N($B$3),OR(NOT(ISNUMBER($D$3)),$B46&lt;=$D$3)),1,0),1))</f>
        <v>0</v>
      </c>
      <c r="AA46" s="24" t="n">
        <f aca="false">$AA45*(1+IF($Z46=1,N($G46),0))</f>
        <v>1.0035</v>
      </c>
      <c r="AB46" s="0" t="str">
        <f aca="false">IF($F46="","",IFERROR(INDEX(Cilësimet!$B$6:$B$10,MATCH($F46,Cilësimet!$A$6:$A$10,0)),""))</f>
        <v/>
      </c>
    </row>
    <row r="47" customFormat="false" ht="18.75" hidden="false" customHeight="true" outlineLevel="0" collapsed="false">
      <c r="A47" s="1"/>
      <c r="B47" s="17"/>
      <c r="C47" s="18"/>
      <c r="D47" s="18"/>
      <c r="E47" s="19"/>
      <c r="F47" s="20"/>
      <c r="G47" s="21" t="str">
        <f aca="false">IF($AB47="","",Cilësimet!$C$3*(INDEX(Cilësimet!$C$6:$C$10,MATCH($F47,Cilësimet!$A$6:$A$10,0))*N($E47)+INDEX(Cilësimet!$D$6:$D$10,MATCH($F47,Cilësimet!$A$6:$A$10,0))))</f>
        <v/>
      </c>
      <c r="H47" s="22" t="str">
        <f aca="false">IF($Z47=1,$AA47-1,"")</f>
        <v/>
      </c>
      <c r="I47" s="23"/>
      <c r="J47" s="1"/>
      <c r="K47" s="1"/>
      <c r="L47" s="1"/>
      <c r="M47" s="1"/>
      <c r="N47" s="1"/>
      <c r="O47" s="1"/>
      <c r="P47" s="1"/>
      <c r="Q47" s="1"/>
      <c r="R47" s="1"/>
      <c r="S47" s="1"/>
      <c r="Z47" s="24" t="n">
        <f aca="false">IF($AB47="",0,IF(ISNUMBER($B47),IF(AND($B47&gt;=N($B$3),OR(NOT(ISNUMBER($D$3)),$B47&lt;=$D$3)),1,0),1))</f>
        <v>0</v>
      </c>
      <c r="AA47" s="24" t="n">
        <f aca="false">$AA46*(1+IF($Z47=1,N($G47),0))</f>
        <v>1.0035</v>
      </c>
      <c r="AB47" s="0" t="str">
        <f aca="false">IF($F47="","",IFERROR(INDEX(Cilësimet!$B$6:$B$10,MATCH($F47,Cilësimet!$A$6:$A$10,0)),""))</f>
        <v/>
      </c>
    </row>
    <row r="48" customFormat="false" ht="18.75" hidden="false" customHeight="true" outlineLevel="0" collapsed="false">
      <c r="A48" s="1"/>
      <c r="B48" s="17"/>
      <c r="C48" s="18"/>
      <c r="D48" s="18"/>
      <c r="E48" s="19"/>
      <c r="F48" s="20"/>
      <c r="G48" s="21" t="str">
        <f aca="false">IF($AB48="","",Cilësimet!$C$3*(INDEX(Cilësimet!$C$6:$C$10,MATCH($F48,Cilësimet!$A$6:$A$10,0))*N($E48)+INDEX(Cilësimet!$D$6:$D$10,MATCH($F48,Cilësimet!$A$6:$A$10,0))))</f>
        <v/>
      </c>
      <c r="H48" s="22" t="str">
        <f aca="false">IF($Z48=1,$AA48-1,"")</f>
        <v/>
      </c>
      <c r="I48" s="23"/>
      <c r="J48" s="1"/>
      <c r="K48" s="1"/>
      <c r="L48" s="1"/>
      <c r="M48" s="1"/>
      <c r="N48" s="1"/>
      <c r="O48" s="1"/>
      <c r="P48" s="1"/>
      <c r="Q48" s="1"/>
      <c r="R48" s="1"/>
      <c r="S48" s="1"/>
      <c r="Z48" s="24" t="n">
        <f aca="false">IF($AB48="",0,IF(ISNUMBER($B48),IF(AND($B48&gt;=N($B$3),OR(NOT(ISNUMBER($D$3)),$B48&lt;=$D$3)),1,0),1))</f>
        <v>0</v>
      </c>
      <c r="AA48" s="24" t="n">
        <f aca="false">$AA47*(1+IF($Z48=1,N($G48),0))</f>
        <v>1.0035</v>
      </c>
      <c r="AB48" s="0" t="str">
        <f aca="false">IF($F48="","",IFERROR(INDEX(Cilësimet!$B$6:$B$10,MATCH($F48,Cilësimet!$A$6:$A$10,0)),""))</f>
        <v/>
      </c>
    </row>
    <row r="49" customFormat="false" ht="18.75" hidden="false" customHeight="true" outlineLevel="0" collapsed="false">
      <c r="A49" s="1"/>
      <c r="B49" s="17"/>
      <c r="C49" s="18"/>
      <c r="D49" s="18"/>
      <c r="E49" s="19"/>
      <c r="F49" s="20"/>
      <c r="G49" s="21" t="str">
        <f aca="false">IF($AB49="","",Cilësimet!$C$3*(INDEX(Cilësimet!$C$6:$C$10,MATCH($F49,Cilësimet!$A$6:$A$10,0))*N($E49)+INDEX(Cilësimet!$D$6:$D$10,MATCH($F49,Cilësimet!$A$6:$A$10,0))))</f>
        <v/>
      </c>
      <c r="H49" s="22" t="str">
        <f aca="false">IF($Z49=1,$AA49-1,"")</f>
        <v/>
      </c>
      <c r="I49" s="23"/>
      <c r="J49" s="1"/>
      <c r="K49" s="1"/>
      <c r="L49" s="1"/>
      <c r="M49" s="1"/>
      <c r="N49" s="1"/>
      <c r="O49" s="1"/>
      <c r="P49" s="1"/>
      <c r="Q49" s="1"/>
      <c r="R49" s="1"/>
      <c r="S49" s="1"/>
      <c r="Z49" s="24" t="n">
        <f aca="false">IF($AB49="",0,IF(ISNUMBER($B49),IF(AND($B49&gt;=N($B$3),OR(NOT(ISNUMBER($D$3)),$B49&lt;=$D$3)),1,0),1))</f>
        <v>0</v>
      </c>
      <c r="AA49" s="24" t="n">
        <f aca="false">$AA48*(1+IF($Z49=1,N($G49),0))</f>
        <v>1.0035</v>
      </c>
      <c r="AB49" s="0" t="str">
        <f aca="false">IF($F49="","",IFERROR(INDEX(Cilësimet!$B$6:$B$10,MATCH($F49,Cilësimet!$A$6:$A$10,0)),""))</f>
        <v/>
      </c>
    </row>
    <row r="50" customFormat="false" ht="18.75" hidden="false" customHeight="true" outlineLevel="0" collapsed="false">
      <c r="A50" s="1"/>
      <c r="B50" s="17"/>
      <c r="C50" s="18"/>
      <c r="D50" s="18"/>
      <c r="E50" s="19"/>
      <c r="F50" s="20"/>
      <c r="G50" s="21" t="str">
        <f aca="false">IF($AB50="","",Cilësimet!$C$3*(INDEX(Cilësimet!$C$6:$C$10,MATCH($F50,Cilësimet!$A$6:$A$10,0))*N($E50)+INDEX(Cilësimet!$D$6:$D$10,MATCH($F50,Cilësimet!$A$6:$A$10,0))))</f>
        <v/>
      </c>
      <c r="H50" s="22" t="str">
        <f aca="false">IF($Z50=1,$AA50-1,"")</f>
        <v/>
      </c>
      <c r="I50" s="23"/>
      <c r="J50" s="1"/>
      <c r="K50" s="1"/>
      <c r="L50" s="1"/>
      <c r="M50" s="1"/>
      <c r="N50" s="1"/>
      <c r="O50" s="1"/>
      <c r="P50" s="1"/>
      <c r="Q50" s="1"/>
      <c r="R50" s="1"/>
      <c r="S50" s="1"/>
      <c r="Z50" s="24" t="n">
        <f aca="false">IF($AB50="",0,IF(ISNUMBER($B50),IF(AND($B50&gt;=N($B$3),OR(NOT(ISNUMBER($D$3)),$B50&lt;=$D$3)),1,0),1))</f>
        <v>0</v>
      </c>
      <c r="AA50" s="24" t="n">
        <f aca="false">$AA49*(1+IF($Z50=1,N($G50),0))</f>
        <v>1.0035</v>
      </c>
      <c r="AB50" s="0" t="str">
        <f aca="false">IF($F50="","",IFERROR(INDEX(Cilësimet!$B$6:$B$10,MATCH($F50,Cilësimet!$A$6:$A$10,0)),""))</f>
        <v/>
      </c>
    </row>
    <row r="51" customFormat="false" ht="18.75" hidden="false" customHeight="true" outlineLevel="0" collapsed="false">
      <c r="A51" s="1"/>
      <c r="B51" s="17"/>
      <c r="C51" s="18"/>
      <c r="D51" s="18"/>
      <c r="E51" s="19"/>
      <c r="F51" s="20"/>
      <c r="G51" s="21" t="str">
        <f aca="false">IF($AB51="","",Cilësimet!$C$3*(INDEX(Cilësimet!$C$6:$C$10,MATCH($F51,Cilësimet!$A$6:$A$10,0))*N($E51)+INDEX(Cilësimet!$D$6:$D$10,MATCH($F51,Cilësimet!$A$6:$A$10,0))))</f>
        <v/>
      </c>
      <c r="H51" s="22" t="str">
        <f aca="false">IF($Z51=1,$AA51-1,"")</f>
        <v/>
      </c>
      <c r="I51" s="23"/>
      <c r="J51" s="1"/>
      <c r="K51" s="1"/>
      <c r="L51" s="1"/>
      <c r="M51" s="1"/>
      <c r="N51" s="1"/>
      <c r="O51" s="1"/>
      <c r="P51" s="1"/>
      <c r="Q51" s="1"/>
      <c r="R51" s="1"/>
      <c r="S51" s="1"/>
      <c r="Z51" s="24" t="n">
        <f aca="false">IF($AB51="",0,IF(ISNUMBER($B51),IF(AND($B51&gt;=N($B$3),OR(NOT(ISNUMBER($D$3)),$B51&lt;=$D$3)),1,0),1))</f>
        <v>0</v>
      </c>
      <c r="AA51" s="24" t="n">
        <f aca="false">$AA50*(1+IF($Z51=1,N($G51),0))</f>
        <v>1.0035</v>
      </c>
      <c r="AB51" s="0" t="str">
        <f aca="false">IF($F51="","",IFERROR(INDEX(Cilësimet!$B$6:$B$10,MATCH($F51,Cilësimet!$A$6:$A$10,0)),""))</f>
        <v/>
      </c>
    </row>
    <row r="52" customFormat="false" ht="18.75" hidden="false" customHeight="true" outlineLevel="0" collapsed="false">
      <c r="A52" s="1"/>
      <c r="B52" s="17"/>
      <c r="C52" s="18"/>
      <c r="D52" s="18"/>
      <c r="E52" s="19"/>
      <c r="F52" s="20"/>
      <c r="G52" s="21" t="str">
        <f aca="false">IF($AB52="","",Cilësimet!$C$3*(INDEX(Cilësimet!$C$6:$C$10,MATCH($F52,Cilësimet!$A$6:$A$10,0))*N($E52)+INDEX(Cilësimet!$D$6:$D$10,MATCH($F52,Cilësimet!$A$6:$A$10,0))))</f>
        <v/>
      </c>
      <c r="H52" s="22" t="str">
        <f aca="false">IF($Z52=1,$AA52-1,"")</f>
        <v/>
      </c>
      <c r="I52" s="23"/>
      <c r="J52" s="1"/>
      <c r="K52" s="1"/>
      <c r="L52" s="1"/>
      <c r="M52" s="1"/>
      <c r="N52" s="1"/>
      <c r="O52" s="1"/>
      <c r="P52" s="1"/>
      <c r="Q52" s="1"/>
      <c r="R52" s="1"/>
      <c r="S52" s="1"/>
      <c r="Z52" s="24" t="n">
        <f aca="false">IF($AB52="",0,IF(ISNUMBER($B52),IF(AND($B52&gt;=N($B$3),OR(NOT(ISNUMBER($D$3)),$B52&lt;=$D$3)),1,0),1))</f>
        <v>0</v>
      </c>
      <c r="AA52" s="24" t="n">
        <f aca="false">$AA51*(1+IF($Z52=1,N($G52),0))</f>
        <v>1.0035</v>
      </c>
      <c r="AB52" s="0" t="str">
        <f aca="false">IF($F52="","",IFERROR(INDEX(Cilësimet!$B$6:$B$10,MATCH($F52,Cilësimet!$A$6:$A$10,0)),""))</f>
        <v/>
      </c>
    </row>
    <row r="53" customFormat="false" ht="18.75" hidden="false" customHeight="true" outlineLevel="0" collapsed="false">
      <c r="A53" s="1"/>
      <c r="B53" s="17"/>
      <c r="C53" s="18"/>
      <c r="D53" s="18"/>
      <c r="E53" s="19"/>
      <c r="F53" s="20"/>
      <c r="G53" s="21" t="str">
        <f aca="false">IF($AB53="","",Cilësimet!$C$3*(INDEX(Cilësimet!$C$6:$C$10,MATCH($F53,Cilësimet!$A$6:$A$10,0))*N($E53)+INDEX(Cilësimet!$D$6:$D$10,MATCH($F53,Cilësimet!$A$6:$A$10,0))))</f>
        <v/>
      </c>
      <c r="H53" s="22" t="str">
        <f aca="false">IF($Z53=1,$AA53-1,"")</f>
        <v/>
      </c>
      <c r="I53" s="23"/>
      <c r="J53" s="1"/>
      <c r="K53" s="1"/>
      <c r="L53" s="1"/>
      <c r="M53" s="1"/>
      <c r="N53" s="1"/>
      <c r="O53" s="1"/>
      <c r="P53" s="1"/>
      <c r="Q53" s="1"/>
      <c r="R53" s="1"/>
      <c r="S53" s="1"/>
      <c r="Z53" s="24" t="n">
        <f aca="false">IF($AB53="",0,IF(ISNUMBER($B53),IF(AND($B53&gt;=N($B$3),OR(NOT(ISNUMBER($D$3)),$B53&lt;=$D$3)),1,0),1))</f>
        <v>0</v>
      </c>
      <c r="AA53" s="24" t="n">
        <f aca="false">$AA52*(1+IF($Z53=1,N($G53),0))</f>
        <v>1.0035</v>
      </c>
      <c r="AB53" s="0" t="str">
        <f aca="false">IF($F53="","",IFERROR(INDEX(Cilësimet!$B$6:$B$10,MATCH($F53,Cilësimet!$A$6:$A$10,0)),""))</f>
        <v/>
      </c>
    </row>
    <row r="54" customFormat="false" ht="18.75" hidden="false" customHeight="true" outlineLevel="0" collapsed="false">
      <c r="A54" s="1"/>
      <c r="B54" s="17"/>
      <c r="C54" s="18"/>
      <c r="D54" s="18"/>
      <c r="E54" s="19"/>
      <c r="F54" s="20"/>
      <c r="G54" s="21" t="str">
        <f aca="false">IF($AB54="","",Cilësimet!$C$3*(INDEX(Cilësimet!$C$6:$C$10,MATCH($F54,Cilësimet!$A$6:$A$10,0))*N($E54)+INDEX(Cilësimet!$D$6:$D$10,MATCH($F54,Cilësimet!$A$6:$A$10,0))))</f>
        <v/>
      </c>
      <c r="H54" s="22" t="str">
        <f aca="false">IF($Z54=1,$AA54-1,"")</f>
        <v/>
      </c>
      <c r="I54" s="23"/>
      <c r="J54" s="1"/>
      <c r="K54" s="1"/>
      <c r="L54" s="1"/>
      <c r="M54" s="1"/>
      <c r="N54" s="1"/>
      <c r="O54" s="1"/>
      <c r="P54" s="1"/>
      <c r="Q54" s="1"/>
      <c r="R54" s="1"/>
      <c r="S54" s="1"/>
      <c r="Z54" s="24" t="n">
        <f aca="false">IF($AB54="",0,IF(ISNUMBER($B54),IF(AND($B54&gt;=N($B$3),OR(NOT(ISNUMBER($D$3)),$B54&lt;=$D$3)),1,0),1))</f>
        <v>0</v>
      </c>
      <c r="AA54" s="24" t="n">
        <f aca="false">$AA53*(1+IF($Z54=1,N($G54),0))</f>
        <v>1.0035</v>
      </c>
      <c r="AB54" s="0" t="str">
        <f aca="false">IF($F54="","",IFERROR(INDEX(Cilësimet!$B$6:$B$10,MATCH($F54,Cilësimet!$A$6:$A$10,0)),""))</f>
        <v/>
      </c>
    </row>
    <row r="55" customFormat="false" ht="18.75" hidden="false" customHeight="true" outlineLevel="0" collapsed="false">
      <c r="A55" s="1"/>
      <c r="B55" s="17"/>
      <c r="C55" s="18"/>
      <c r="D55" s="18"/>
      <c r="E55" s="19"/>
      <c r="F55" s="20"/>
      <c r="G55" s="21" t="str">
        <f aca="false">IF($AB55="","",Cilësimet!$C$3*(INDEX(Cilësimet!$C$6:$C$10,MATCH($F55,Cilësimet!$A$6:$A$10,0))*N($E55)+INDEX(Cilësimet!$D$6:$D$10,MATCH($F55,Cilësimet!$A$6:$A$10,0))))</f>
        <v/>
      </c>
      <c r="H55" s="22" t="str">
        <f aca="false">IF($Z55=1,$AA55-1,"")</f>
        <v/>
      </c>
      <c r="I55" s="23"/>
      <c r="J55" s="1"/>
      <c r="K55" s="1"/>
      <c r="L55" s="1"/>
      <c r="M55" s="1"/>
      <c r="N55" s="1"/>
      <c r="O55" s="1"/>
      <c r="P55" s="1"/>
      <c r="Q55" s="1"/>
      <c r="R55" s="1"/>
      <c r="S55" s="1"/>
      <c r="Z55" s="24" t="n">
        <f aca="false">IF($AB55="",0,IF(ISNUMBER($B55),IF(AND($B55&gt;=N($B$3),OR(NOT(ISNUMBER($D$3)),$B55&lt;=$D$3)),1,0),1))</f>
        <v>0</v>
      </c>
      <c r="AA55" s="24" t="n">
        <f aca="false">$AA54*(1+IF($Z55=1,N($G55),0))</f>
        <v>1.0035</v>
      </c>
      <c r="AB55" s="0" t="str">
        <f aca="false">IF($F55="","",IFERROR(INDEX(Cilësimet!$B$6:$B$10,MATCH($F55,Cilësimet!$A$6:$A$10,0)),""))</f>
        <v/>
      </c>
    </row>
    <row r="56" customFormat="false" ht="18.75" hidden="false" customHeight="true" outlineLevel="0" collapsed="false">
      <c r="A56" s="1"/>
      <c r="B56" s="17"/>
      <c r="C56" s="18"/>
      <c r="D56" s="18"/>
      <c r="E56" s="19"/>
      <c r="F56" s="20"/>
      <c r="G56" s="21" t="str">
        <f aca="false">IF($AB56="","",Cilësimet!$C$3*(INDEX(Cilësimet!$C$6:$C$10,MATCH($F56,Cilësimet!$A$6:$A$10,0))*N($E56)+INDEX(Cilësimet!$D$6:$D$10,MATCH($F56,Cilësimet!$A$6:$A$10,0))))</f>
        <v/>
      </c>
      <c r="H56" s="22" t="str">
        <f aca="false">IF($Z56=1,$AA56-1,"")</f>
        <v/>
      </c>
      <c r="I56" s="23"/>
      <c r="J56" s="1"/>
      <c r="K56" s="1"/>
      <c r="L56" s="1"/>
      <c r="M56" s="1"/>
      <c r="N56" s="1"/>
      <c r="O56" s="1"/>
      <c r="P56" s="1"/>
      <c r="Q56" s="1"/>
      <c r="R56" s="1"/>
      <c r="S56" s="1"/>
      <c r="Z56" s="24" t="n">
        <f aca="false">IF($AB56="",0,IF(ISNUMBER($B56),IF(AND($B56&gt;=N($B$3),OR(NOT(ISNUMBER($D$3)),$B56&lt;=$D$3)),1,0),1))</f>
        <v>0</v>
      </c>
      <c r="AA56" s="24" t="n">
        <f aca="false">$AA55*(1+IF($Z56=1,N($G56),0))</f>
        <v>1.0035</v>
      </c>
      <c r="AB56" s="0" t="str">
        <f aca="false">IF($F56="","",IFERROR(INDEX(Cilësimet!$B$6:$B$10,MATCH($F56,Cilësimet!$A$6:$A$10,0)),""))</f>
        <v/>
      </c>
    </row>
    <row r="57" customFormat="false" ht="18.75" hidden="false" customHeight="true" outlineLevel="0" collapsed="false">
      <c r="A57" s="1"/>
      <c r="B57" s="17"/>
      <c r="C57" s="18"/>
      <c r="D57" s="18"/>
      <c r="E57" s="19"/>
      <c r="F57" s="20"/>
      <c r="G57" s="21" t="str">
        <f aca="false">IF($AB57="","",Cilësimet!$C$3*(INDEX(Cilësimet!$C$6:$C$10,MATCH($F57,Cilësimet!$A$6:$A$10,0))*N($E57)+INDEX(Cilësimet!$D$6:$D$10,MATCH($F57,Cilësimet!$A$6:$A$10,0))))</f>
        <v/>
      </c>
      <c r="H57" s="22" t="str">
        <f aca="false">IF($Z57=1,$AA57-1,"")</f>
        <v/>
      </c>
      <c r="I57" s="23"/>
      <c r="J57" s="1"/>
      <c r="K57" s="1"/>
      <c r="L57" s="1"/>
      <c r="M57" s="1"/>
      <c r="N57" s="1"/>
      <c r="O57" s="1"/>
      <c r="P57" s="1"/>
      <c r="Q57" s="1"/>
      <c r="R57" s="1"/>
      <c r="S57" s="1"/>
      <c r="Z57" s="24" t="n">
        <f aca="false">IF($AB57="",0,IF(ISNUMBER($B57),IF(AND($B57&gt;=N($B$3),OR(NOT(ISNUMBER($D$3)),$B57&lt;=$D$3)),1,0),1))</f>
        <v>0</v>
      </c>
      <c r="AA57" s="24" t="n">
        <f aca="false">$AA56*(1+IF($Z57=1,N($G57),0))</f>
        <v>1.0035</v>
      </c>
      <c r="AB57" s="0" t="str">
        <f aca="false">IF($F57="","",IFERROR(INDEX(Cilësimet!$B$6:$B$10,MATCH($F57,Cilësimet!$A$6:$A$10,0)),""))</f>
        <v/>
      </c>
    </row>
    <row r="58" customFormat="false" ht="18.75" hidden="false" customHeight="true" outlineLevel="0" collapsed="false">
      <c r="A58" s="1"/>
      <c r="B58" s="17"/>
      <c r="C58" s="18"/>
      <c r="D58" s="18"/>
      <c r="E58" s="19"/>
      <c r="F58" s="20"/>
      <c r="G58" s="21" t="str">
        <f aca="false">IF($AB58="","",Cilësimet!$C$3*(INDEX(Cilësimet!$C$6:$C$10,MATCH($F58,Cilësimet!$A$6:$A$10,0))*N($E58)+INDEX(Cilësimet!$D$6:$D$10,MATCH($F58,Cilësimet!$A$6:$A$10,0))))</f>
        <v/>
      </c>
      <c r="H58" s="22" t="str">
        <f aca="false">IF($Z58=1,$AA58-1,"")</f>
        <v/>
      </c>
      <c r="I58" s="23"/>
      <c r="J58" s="1"/>
      <c r="K58" s="1"/>
      <c r="L58" s="1"/>
      <c r="M58" s="1"/>
      <c r="N58" s="1"/>
      <c r="O58" s="1"/>
      <c r="P58" s="1"/>
      <c r="Q58" s="1"/>
      <c r="R58" s="1"/>
      <c r="S58" s="1"/>
      <c r="Z58" s="24" t="n">
        <f aca="false">IF($AB58="",0,IF(ISNUMBER($B58),IF(AND($B58&gt;=N($B$3),OR(NOT(ISNUMBER($D$3)),$B58&lt;=$D$3)),1,0),1))</f>
        <v>0</v>
      </c>
      <c r="AA58" s="24" t="n">
        <f aca="false">$AA57*(1+IF($Z58=1,N($G58),0))</f>
        <v>1.0035</v>
      </c>
      <c r="AB58" s="0" t="str">
        <f aca="false">IF($F58="","",IFERROR(INDEX(Cilësimet!$B$6:$B$10,MATCH($F58,Cilësimet!$A$6:$A$10,0)),""))</f>
        <v/>
      </c>
    </row>
    <row r="59" customFormat="false" ht="18.75" hidden="false" customHeight="true" outlineLevel="0" collapsed="false">
      <c r="A59" s="1"/>
      <c r="B59" s="17"/>
      <c r="C59" s="18"/>
      <c r="D59" s="18"/>
      <c r="E59" s="19"/>
      <c r="F59" s="20"/>
      <c r="G59" s="21" t="str">
        <f aca="false">IF($AB59="","",Cilësimet!$C$3*(INDEX(Cilësimet!$C$6:$C$10,MATCH($F59,Cilësimet!$A$6:$A$10,0))*N($E59)+INDEX(Cilësimet!$D$6:$D$10,MATCH($F59,Cilësimet!$A$6:$A$10,0))))</f>
        <v/>
      </c>
      <c r="H59" s="22" t="str">
        <f aca="false">IF($Z59=1,$AA59-1,"")</f>
        <v/>
      </c>
      <c r="I59" s="23"/>
      <c r="J59" s="1"/>
      <c r="K59" s="1"/>
      <c r="L59" s="1"/>
      <c r="M59" s="1"/>
      <c r="N59" s="1"/>
      <c r="O59" s="1"/>
      <c r="P59" s="1"/>
      <c r="Q59" s="1"/>
      <c r="R59" s="1"/>
      <c r="S59" s="1"/>
      <c r="Z59" s="24" t="n">
        <f aca="false">IF($AB59="",0,IF(ISNUMBER($B59),IF(AND($B59&gt;=N($B$3),OR(NOT(ISNUMBER($D$3)),$B59&lt;=$D$3)),1,0),1))</f>
        <v>0</v>
      </c>
      <c r="AA59" s="24" t="n">
        <f aca="false">$AA58*(1+IF($Z59=1,N($G59),0))</f>
        <v>1.0035</v>
      </c>
      <c r="AB59" s="0" t="str">
        <f aca="false">IF($F59="","",IFERROR(INDEX(Cilësimet!$B$6:$B$10,MATCH($F59,Cilësimet!$A$6:$A$10,0)),""))</f>
        <v/>
      </c>
    </row>
    <row r="60" customFormat="false" ht="18.75" hidden="false" customHeight="true" outlineLevel="0" collapsed="false">
      <c r="A60" s="1"/>
      <c r="B60" s="17"/>
      <c r="C60" s="18"/>
      <c r="D60" s="18"/>
      <c r="E60" s="19"/>
      <c r="F60" s="20"/>
      <c r="G60" s="21" t="str">
        <f aca="false">IF($AB60="","",Cilësimet!$C$3*(INDEX(Cilësimet!$C$6:$C$10,MATCH($F60,Cilësimet!$A$6:$A$10,0))*N($E60)+INDEX(Cilësimet!$D$6:$D$10,MATCH($F60,Cilësimet!$A$6:$A$10,0))))</f>
        <v/>
      </c>
      <c r="H60" s="22" t="str">
        <f aca="false">IF($Z60=1,$AA60-1,"")</f>
        <v/>
      </c>
      <c r="I60" s="23"/>
      <c r="J60" s="1"/>
      <c r="K60" s="1"/>
      <c r="L60" s="1"/>
      <c r="M60" s="1"/>
      <c r="N60" s="1"/>
      <c r="O60" s="1"/>
      <c r="P60" s="1"/>
      <c r="Q60" s="1"/>
      <c r="R60" s="1"/>
      <c r="S60" s="1"/>
      <c r="Z60" s="24" t="n">
        <f aca="false">IF($AB60="",0,IF(ISNUMBER($B60),IF(AND($B60&gt;=N($B$3),OR(NOT(ISNUMBER($D$3)),$B60&lt;=$D$3)),1,0),1))</f>
        <v>0</v>
      </c>
      <c r="AA60" s="24" t="n">
        <f aca="false">$AA59*(1+IF($Z60=1,N($G60),0))</f>
        <v>1.0035</v>
      </c>
      <c r="AB60" s="0" t="str">
        <f aca="false">IF($F60="","",IFERROR(INDEX(Cilësimet!$B$6:$B$10,MATCH($F60,Cilësimet!$A$6:$A$10,0)),""))</f>
        <v/>
      </c>
    </row>
    <row r="61" customFormat="false" ht="18.75" hidden="false" customHeight="true" outlineLevel="0" collapsed="false">
      <c r="A61" s="1"/>
      <c r="B61" s="17"/>
      <c r="C61" s="18"/>
      <c r="D61" s="18"/>
      <c r="E61" s="19"/>
      <c r="F61" s="20"/>
      <c r="G61" s="21" t="str">
        <f aca="false">IF($AB61="","",Cilësimet!$C$3*(INDEX(Cilësimet!$C$6:$C$10,MATCH($F61,Cilësimet!$A$6:$A$10,0))*N($E61)+INDEX(Cilësimet!$D$6:$D$10,MATCH($F61,Cilësimet!$A$6:$A$10,0))))</f>
        <v/>
      </c>
      <c r="H61" s="22" t="str">
        <f aca="false">IF($Z61=1,$AA61-1,"")</f>
        <v/>
      </c>
      <c r="I61" s="23"/>
      <c r="J61" s="1"/>
      <c r="K61" s="1"/>
      <c r="L61" s="1"/>
      <c r="M61" s="1"/>
      <c r="N61" s="1"/>
      <c r="O61" s="1"/>
      <c r="P61" s="1"/>
      <c r="Q61" s="1"/>
      <c r="R61" s="1"/>
      <c r="S61" s="1"/>
      <c r="Z61" s="24" t="n">
        <f aca="false">IF($AB61="",0,IF(ISNUMBER($B61),IF(AND($B61&gt;=N($B$3),OR(NOT(ISNUMBER($D$3)),$B61&lt;=$D$3)),1,0),1))</f>
        <v>0</v>
      </c>
      <c r="AA61" s="24" t="n">
        <f aca="false">$AA60*(1+IF($Z61=1,N($G61),0))</f>
        <v>1.0035</v>
      </c>
      <c r="AB61" s="0" t="str">
        <f aca="false">IF($F61="","",IFERROR(INDEX(Cilësimet!$B$6:$B$10,MATCH($F61,Cilësimet!$A$6:$A$10,0)),""))</f>
        <v/>
      </c>
    </row>
    <row r="62" customFormat="false" ht="18.75" hidden="false" customHeight="true" outlineLevel="0" collapsed="false">
      <c r="A62" s="1"/>
      <c r="B62" s="17"/>
      <c r="C62" s="18"/>
      <c r="D62" s="18"/>
      <c r="E62" s="19"/>
      <c r="F62" s="20"/>
      <c r="G62" s="21" t="str">
        <f aca="false">IF($AB62="","",Cilësimet!$C$3*(INDEX(Cilësimet!$C$6:$C$10,MATCH($F62,Cilësimet!$A$6:$A$10,0))*N($E62)+INDEX(Cilësimet!$D$6:$D$10,MATCH($F62,Cilësimet!$A$6:$A$10,0))))</f>
        <v/>
      </c>
      <c r="H62" s="22" t="str">
        <f aca="false">IF($Z62=1,$AA62-1,"")</f>
        <v/>
      </c>
      <c r="I62" s="23"/>
      <c r="J62" s="1"/>
      <c r="K62" s="1"/>
      <c r="L62" s="1"/>
      <c r="M62" s="1"/>
      <c r="N62" s="1"/>
      <c r="O62" s="1"/>
      <c r="P62" s="1"/>
      <c r="Q62" s="1"/>
      <c r="R62" s="1"/>
      <c r="S62" s="1"/>
      <c r="Z62" s="24" t="n">
        <f aca="false">IF($AB62="",0,IF(ISNUMBER($B62),IF(AND($B62&gt;=N($B$3),OR(NOT(ISNUMBER($D$3)),$B62&lt;=$D$3)),1,0),1))</f>
        <v>0</v>
      </c>
      <c r="AA62" s="24" t="n">
        <f aca="false">$AA61*(1+IF($Z62=1,N($G62),0))</f>
        <v>1.0035</v>
      </c>
      <c r="AB62" s="0" t="str">
        <f aca="false">IF($F62="","",IFERROR(INDEX(Cilësimet!$B$6:$B$10,MATCH($F62,Cilësimet!$A$6:$A$10,0)),""))</f>
        <v/>
      </c>
    </row>
    <row r="63" customFormat="false" ht="18.75" hidden="false" customHeight="true" outlineLevel="0" collapsed="false">
      <c r="A63" s="1"/>
      <c r="B63" s="17"/>
      <c r="C63" s="18"/>
      <c r="D63" s="18"/>
      <c r="E63" s="19"/>
      <c r="F63" s="20"/>
      <c r="G63" s="21" t="str">
        <f aca="false">IF($AB63="","",Cilësimet!$C$3*(INDEX(Cilësimet!$C$6:$C$10,MATCH($F63,Cilësimet!$A$6:$A$10,0))*N($E63)+INDEX(Cilësimet!$D$6:$D$10,MATCH($F63,Cilësimet!$A$6:$A$10,0))))</f>
        <v/>
      </c>
      <c r="H63" s="22" t="str">
        <f aca="false">IF($Z63=1,$AA63-1,"")</f>
        <v/>
      </c>
      <c r="I63" s="23"/>
      <c r="J63" s="1"/>
      <c r="K63" s="1"/>
      <c r="L63" s="1"/>
      <c r="M63" s="1"/>
      <c r="N63" s="1"/>
      <c r="O63" s="1"/>
      <c r="P63" s="1"/>
      <c r="Q63" s="1"/>
      <c r="R63" s="1"/>
      <c r="S63" s="1"/>
      <c r="Z63" s="24" t="n">
        <f aca="false">IF($AB63="",0,IF(ISNUMBER($B63),IF(AND($B63&gt;=N($B$3),OR(NOT(ISNUMBER($D$3)),$B63&lt;=$D$3)),1,0),1))</f>
        <v>0</v>
      </c>
      <c r="AA63" s="24" t="n">
        <f aca="false">$AA62*(1+IF($Z63=1,N($G63),0))</f>
        <v>1.0035</v>
      </c>
      <c r="AB63" s="0" t="str">
        <f aca="false">IF($F63="","",IFERROR(INDEX(Cilësimet!$B$6:$B$10,MATCH($F63,Cilësimet!$A$6:$A$10,0)),""))</f>
        <v/>
      </c>
    </row>
    <row r="64" customFormat="false" ht="18.75" hidden="false" customHeight="true" outlineLevel="0" collapsed="false">
      <c r="A64" s="1"/>
      <c r="B64" s="17"/>
      <c r="C64" s="18"/>
      <c r="D64" s="18"/>
      <c r="E64" s="19"/>
      <c r="F64" s="20"/>
      <c r="G64" s="21" t="str">
        <f aca="false">IF($AB64="","",Cilësimet!$C$3*(INDEX(Cilësimet!$C$6:$C$10,MATCH($F64,Cilësimet!$A$6:$A$10,0))*N($E64)+INDEX(Cilësimet!$D$6:$D$10,MATCH($F64,Cilësimet!$A$6:$A$10,0))))</f>
        <v/>
      </c>
      <c r="H64" s="22" t="str">
        <f aca="false">IF($Z64=1,$AA64-1,"")</f>
        <v/>
      </c>
      <c r="I64" s="23"/>
      <c r="J64" s="1"/>
      <c r="K64" s="1"/>
      <c r="L64" s="1"/>
      <c r="M64" s="1"/>
      <c r="N64" s="1"/>
      <c r="O64" s="1"/>
      <c r="P64" s="1"/>
      <c r="Q64" s="1"/>
      <c r="R64" s="1"/>
      <c r="S64" s="1"/>
      <c r="Z64" s="24" t="n">
        <f aca="false">IF($AB64="",0,IF(ISNUMBER($B64),IF(AND($B64&gt;=N($B$3),OR(NOT(ISNUMBER($D$3)),$B64&lt;=$D$3)),1,0),1))</f>
        <v>0</v>
      </c>
      <c r="AA64" s="24" t="n">
        <f aca="false">$AA63*(1+IF($Z64=1,N($G64),0))</f>
        <v>1.0035</v>
      </c>
      <c r="AB64" s="0" t="str">
        <f aca="false">IF($F64="","",IFERROR(INDEX(Cilësimet!$B$6:$B$10,MATCH($F64,Cilësimet!$A$6:$A$10,0)),""))</f>
        <v/>
      </c>
    </row>
    <row r="65" customFormat="false" ht="18.75" hidden="false" customHeight="true" outlineLevel="0" collapsed="false">
      <c r="A65" s="1"/>
      <c r="B65" s="17"/>
      <c r="C65" s="18"/>
      <c r="D65" s="18"/>
      <c r="E65" s="19"/>
      <c r="F65" s="20"/>
      <c r="G65" s="21" t="str">
        <f aca="false">IF($AB65="","",Cilësimet!$C$3*(INDEX(Cilësimet!$C$6:$C$10,MATCH($F65,Cilësimet!$A$6:$A$10,0))*N($E65)+INDEX(Cilësimet!$D$6:$D$10,MATCH($F65,Cilësimet!$A$6:$A$10,0))))</f>
        <v/>
      </c>
      <c r="H65" s="22" t="str">
        <f aca="false">IF($Z65=1,$AA65-1,"")</f>
        <v/>
      </c>
      <c r="I65" s="23"/>
      <c r="J65" s="1"/>
      <c r="K65" s="1"/>
      <c r="L65" s="1"/>
      <c r="M65" s="1"/>
      <c r="N65" s="1"/>
      <c r="O65" s="1"/>
      <c r="P65" s="1"/>
      <c r="Q65" s="1"/>
      <c r="R65" s="1"/>
      <c r="S65" s="1"/>
      <c r="Z65" s="24" t="n">
        <f aca="false">IF($AB65="",0,IF(ISNUMBER($B65),IF(AND($B65&gt;=N($B$3),OR(NOT(ISNUMBER($D$3)),$B65&lt;=$D$3)),1,0),1))</f>
        <v>0</v>
      </c>
      <c r="AA65" s="24" t="n">
        <f aca="false">$AA64*(1+IF($Z65=1,N($G65),0))</f>
        <v>1.0035</v>
      </c>
      <c r="AB65" s="0" t="str">
        <f aca="false">IF($F65="","",IFERROR(INDEX(Cilësimet!$B$6:$B$10,MATCH($F65,Cilësimet!$A$6:$A$10,0)),""))</f>
        <v/>
      </c>
    </row>
    <row r="66" customFormat="false" ht="18.75" hidden="false" customHeight="true" outlineLevel="0" collapsed="false">
      <c r="A66" s="1"/>
      <c r="B66" s="17"/>
      <c r="C66" s="18"/>
      <c r="D66" s="18"/>
      <c r="E66" s="19"/>
      <c r="F66" s="20"/>
      <c r="G66" s="21" t="str">
        <f aca="false">IF($AB66="","",Cilësimet!$C$3*(INDEX(Cilësimet!$C$6:$C$10,MATCH($F66,Cilësimet!$A$6:$A$10,0))*N($E66)+INDEX(Cilësimet!$D$6:$D$10,MATCH($F66,Cilësimet!$A$6:$A$10,0))))</f>
        <v/>
      </c>
      <c r="H66" s="22" t="str">
        <f aca="false">IF($Z66=1,$AA66-1,"")</f>
        <v/>
      </c>
      <c r="I66" s="23"/>
      <c r="J66" s="1"/>
      <c r="K66" s="1"/>
      <c r="L66" s="1"/>
      <c r="M66" s="1"/>
      <c r="N66" s="1"/>
      <c r="O66" s="1"/>
      <c r="P66" s="1"/>
      <c r="Q66" s="1"/>
      <c r="R66" s="1"/>
      <c r="S66" s="1"/>
      <c r="Z66" s="24" t="n">
        <f aca="false">IF($AB66="",0,IF(ISNUMBER($B66),IF(AND($B66&gt;=N($B$3),OR(NOT(ISNUMBER($D$3)),$B66&lt;=$D$3)),1,0),1))</f>
        <v>0</v>
      </c>
      <c r="AA66" s="24" t="n">
        <f aca="false">$AA65*(1+IF($Z66=1,N($G66),0))</f>
        <v>1.0035</v>
      </c>
      <c r="AB66" s="0" t="str">
        <f aca="false">IF($F66="","",IFERROR(INDEX(Cilësimet!$B$6:$B$10,MATCH($F66,Cilësimet!$A$6:$A$10,0)),""))</f>
        <v/>
      </c>
    </row>
    <row r="67" customFormat="false" ht="18.75" hidden="false" customHeight="true" outlineLevel="0" collapsed="false">
      <c r="A67" s="1"/>
      <c r="B67" s="17"/>
      <c r="C67" s="18"/>
      <c r="D67" s="18"/>
      <c r="E67" s="19"/>
      <c r="F67" s="20"/>
      <c r="G67" s="21" t="str">
        <f aca="false">IF($AB67="","",Cilësimet!$C$3*(INDEX(Cilësimet!$C$6:$C$10,MATCH($F67,Cilësimet!$A$6:$A$10,0))*N($E67)+INDEX(Cilësimet!$D$6:$D$10,MATCH($F67,Cilësimet!$A$6:$A$10,0))))</f>
        <v/>
      </c>
      <c r="H67" s="22" t="str">
        <f aca="false">IF($Z67=1,$AA67-1,"")</f>
        <v/>
      </c>
      <c r="I67" s="23"/>
      <c r="J67" s="1"/>
      <c r="K67" s="1"/>
      <c r="L67" s="1"/>
      <c r="M67" s="1"/>
      <c r="N67" s="1"/>
      <c r="O67" s="1"/>
      <c r="P67" s="1"/>
      <c r="Q67" s="1"/>
      <c r="R67" s="1"/>
      <c r="S67" s="1"/>
      <c r="Z67" s="24" t="n">
        <f aca="false">IF($AB67="",0,IF(ISNUMBER($B67),IF(AND($B67&gt;=N($B$3),OR(NOT(ISNUMBER($D$3)),$B67&lt;=$D$3)),1,0),1))</f>
        <v>0</v>
      </c>
      <c r="AA67" s="24" t="n">
        <f aca="false">$AA66*(1+IF($Z67=1,N($G67),0))</f>
        <v>1.0035</v>
      </c>
      <c r="AB67" s="0" t="str">
        <f aca="false">IF($F67="","",IFERROR(INDEX(Cilësimet!$B$6:$B$10,MATCH($F67,Cilësimet!$A$6:$A$10,0)),""))</f>
        <v/>
      </c>
    </row>
    <row r="68" customFormat="false" ht="18.75" hidden="false" customHeight="true" outlineLevel="0" collapsed="false">
      <c r="A68" s="1"/>
      <c r="B68" s="17"/>
      <c r="C68" s="18"/>
      <c r="D68" s="18"/>
      <c r="E68" s="19"/>
      <c r="F68" s="20"/>
      <c r="G68" s="21" t="str">
        <f aca="false">IF($AB68="","",Cilësimet!$C$3*(INDEX(Cilësimet!$C$6:$C$10,MATCH($F68,Cilësimet!$A$6:$A$10,0))*N($E68)+INDEX(Cilësimet!$D$6:$D$10,MATCH($F68,Cilësimet!$A$6:$A$10,0))))</f>
        <v/>
      </c>
      <c r="H68" s="22" t="str">
        <f aca="false">IF($Z68=1,$AA68-1,"")</f>
        <v/>
      </c>
      <c r="I68" s="23"/>
      <c r="J68" s="1"/>
      <c r="K68" s="1"/>
      <c r="L68" s="1"/>
      <c r="M68" s="1"/>
      <c r="N68" s="1"/>
      <c r="O68" s="1"/>
      <c r="P68" s="1"/>
      <c r="Q68" s="1"/>
      <c r="R68" s="1"/>
      <c r="S68" s="1"/>
      <c r="Z68" s="24" t="n">
        <f aca="false">IF($AB68="",0,IF(ISNUMBER($B68),IF(AND($B68&gt;=N($B$3),OR(NOT(ISNUMBER($D$3)),$B68&lt;=$D$3)),1,0),1))</f>
        <v>0</v>
      </c>
      <c r="AA68" s="24" t="n">
        <f aca="false">$AA67*(1+IF($Z68=1,N($G68),0))</f>
        <v>1.0035</v>
      </c>
      <c r="AB68" s="0" t="str">
        <f aca="false">IF($F68="","",IFERROR(INDEX(Cilësimet!$B$6:$B$10,MATCH($F68,Cilësimet!$A$6:$A$10,0)),""))</f>
        <v/>
      </c>
    </row>
    <row r="69" customFormat="false" ht="18.75" hidden="false" customHeight="true" outlineLevel="0" collapsed="false">
      <c r="A69" s="1"/>
      <c r="B69" s="17"/>
      <c r="C69" s="18"/>
      <c r="D69" s="18"/>
      <c r="E69" s="19"/>
      <c r="F69" s="20"/>
      <c r="G69" s="21" t="str">
        <f aca="false">IF($AB69="","",Cilësimet!$C$3*(INDEX(Cilësimet!$C$6:$C$10,MATCH($F69,Cilësimet!$A$6:$A$10,0))*N($E69)+INDEX(Cilësimet!$D$6:$D$10,MATCH($F69,Cilësimet!$A$6:$A$10,0))))</f>
        <v/>
      </c>
      <c r="H69" s="22" t="str">
        <f aca="false">IF($Z69=1,$AA69-1,"")</f>
        <v/>
      </c>
      <c r="I69" s="23"/>
      <c r="J69" s="1"/>
      <c r="K69" s="1"/>
      <c r="L69" s="1"/>
      <c r="M69" s="1"/>
      <c r="N69" s="1"/>
      <c r="O69" s="1"/>
      <c r="P69" s="1"/>
      <c r="Q69" s="1"/>
      <c r="R69" s="1"/>
      <c r="S69" s="1"/>
      <c r="Z69" s="24" t="n">
        <f aca="false">IF($AB69="",0,IF(ISNUMBER($B69),IF(AND($B69&gt;=N($B$3),OR(NOT(ISNUMBER($D$3)),$B69&lt;=$D$3)),1,0),1))</f>
        <v>0</v>
      </c>
      <c r="AA69" s="24" t="n">
        <f aca="false">$AA68*(1+IF($Z69=1,N($G69),0))</f>
        <v>1.0035</v>
      </c>
      <c r="AB69" s="0" t="str">
        <f aca="false">IF($F69="","",IFERROR(INDEX(Cilësimet!$B$6:$B$10,MATCH($F69,Cilësimet!$A$6:$A$10,0)),""))</f>
        <v/>
      </c>
    </row>
    <row r="70" customFormat="false" ht="18.75" hidden="false" customHeight="true" outlineLevel="0" collapsed="false">
      <c r="A70" s="1"/>
      <c r="B70" s="17"/>
      <c r="C70" s="18"/>
      <c r="D70" s="18"/>
      <c r="E70" s="19"/>
      <c r="F70" s="20"/>
      <c r="G70" s="21" t="str">
        <f aca="false">IF($AB70="","",Cilësimet!$C$3*(INDEX(Cilësimet!$C$6:$C$10,MATCH($F70,Cilësimet!$A$6:$A$10,0))*N($E70)+INDEX(Cilësimet!$D$6:$D$10,MATCH($F70,Cilësimet!$A$6:$A$10,0))))</f>
        <v/>
      </c>
      <c r="H70" s="22" t="str">
        <f aca="false">IF($Z70=1,$AA70-1,"")</f>
        <v/>
      </c>
      <c r="I70" s="23"/>
      <c r="J70" s="1"/>
      <c r="K70" s="1"/>
      <c r="L70" s="1"/>
      <c r="M70" s="1"/>
      <c r="N70" s="1"/>
      <c r="O70" s="1"/>
      <c r="P70" s="1"/>
      <c r="Q70" s="1"/>
      <c r="R70" s="1"/>
      <c r="S70" s="1"/>
      <c r="Z70" s="24" t="n">
        <f aca="false">IF($AB70="",0,IF(ISNUMBER($B70),IF(AND($B70&gt;=N($B$3),OR(NOT(ISNUMBER($D$3)),$B70&lt;=$D$3)),1,0),1))</f>
        <v>0</v>
      </c>
      <c r="AA70" s="24" t="n">
        <f aca="false">$AA69*(1+IF($Z70=1,N($G70),0))</f>
        <v>1.0035</v>
      </c>
      <c r="AB70" s="0" t="str">
        <f aca="false">IF($F70="","",IFERROR(INDEX(Cilësimet!$B$6:$B$10,MATCH($F70,Cilësimet!$A$6:$A$10,0)),""))</f>
        <v/>
      </c>
    </row>
    <row r="71" customFormat="false" ht="18.75" hidden="false" customHeight="true" outlineLevel="0" collapsed="false">
      <c r="A71" s="1"/>
      <c r="B71" s="17"/>
      <c r="C71" s="18"/>
      <c r="D71" s="18"/>
      <c r="E71" s="19"/>
      <c r="F71" s="20"/>
      <c r="G71" s="21" t="str">
        <f aca="false">IF($AB71="","",Cilësimet!$C$3*(INDEX(Cilësimet!$C$6:$C$10,MATCH($F71,Cilësimet!$A$6:$A$10,0))*N($E71)+INDEX(Cilësimet!$D$6:$D$10,MATCH($F71,Cilësimet!$A$6:$A$10,0))))</f>
        <v/>
      </c>
      <c r="H71" s="22" t="str">
        <f aca="false">IF($Z71=1,$AA71-1,"")</f>
        <v/>
      </c>
      <c r="I71" s="23"/>
      <c r="J71" s="1"/>
      <c r="K71" s="1"/>
      <c r="L71" s="1"/>
      <c r="M71" s="1"/>
      <c r="N71" s="1"/>
      <c r="O71" s="1"/>
      <c r="P71" s="1"/>
      <c r="Q71" s="1"/>
      <c r="R71" s="1"/>
      <c r="S71" s="1"/>
      <c r="Z71" s="24" t="n">
        <f aca="false">IF($AB71="",0,IF(ISNUMBER($B71),IF(AND($B71&gt;=N($B$3),OR(NOT(ISNUMBER($D$3)),$B71&lt;=$D$3)),1,0),1))</f>
        <v>0</v>
      </c>
      <c r="AA71" s="24" t="n">
        <f aca="false">$AA70*(1+IF($Z71=1,N($G71),0))</f>
        <v>1.0035</v>
      </c>
      <c r="AB71" s="0" t="str">
        <f aca="false">IF($F71="","",IFERROR(INDEX(Cilësimet!$B$6:$B$10,MATCH($F71,Cilësimet!$A$6:$A$10,0)),""))</f>
        <v/>
      </c>
    </row>
    <row r="72" customFormat="false" ht="18.75" hidden="false" customHeight="true" outlineLevel="0" collapsed="false">
      <c r="A72" s="1"/>
      <c r="B72" s="17"/>
      <c r="C72" s="18"/>
      <c r="D72" s="18"/>
      <c r="E72" s="19"/>
      <c r="F72" s="20"/>
      <c r="G72" s="21" t="str">
        <f aca="false">IF($AB72="","",Cilësimet!$C$3*(INDEX(Cilësimet!$C$6:$C$10,MATCH($F72,Cilësimet!$A$6:$A$10,0))*N($E72)+INDEX(Cilësimet!$D$6:$D$10,MATCH($F72,Cilësimet!$A$6:$A$10,0))))</f>
        <v/>
      </c>
      <c r="H72" s="22" t="str">
        <f aca="false">IF($Z72=1,$AA72-1,"")</f>
        <v/>
      </c>
      <c r="I72" s="23"/>
      <c r="J72" s="1"/>
      <c r="K72" s="1"/>
      <c r="L72" s="1"/>
      <c r="M72" s="1"/>
      <c r="N72" s="1"/>
      <c r="O72" s="1"/>
      <c r="P72" s="1"/>
      <c r="Q72" s="1"/>
      <c r="R72" s="1"/>
      <c r="S72" s="1"/>
      <c r="Z72" s="24" t="n">
        <f aca="false">IF($AB72="",0,IF(ISNUMBER($B72),IF(AND($B72&gt;=N($B$3),OR(NOT(ISNUMBER($D$3)),$B72&lt;=$D$3)),1,0),1))</f>
        <v>0</v>
      </c>
      <c r="AA72" s="24" t="n">
        <f aca="false">$AA71*(1+IF($Z72=1,N($G72),0))</f>
        <v>1.0035</v>
      </c>
      <c r="AB72" s="0" t="str">
        <f aca="false">IF($F72="","",IFERROR(INDEX(Cilësimet!$B$6:$B$10,MATCH($F72,Cilësimet!$A$6:$A$10,0)),""))</f>
        <v/>
      </c>
    </row>
    <row r="73" customFormat="false" ht="18.75" hidden="false" customHeight="true" outlineLevel="0" collapsed="false">
      <c r="A73" s="1"/>
      <c r="B73" s="17"/>
      <c r="C73" s="18"/>
      <c r="D73" s="18"/>
      <c r="E73" s="19"/>
      <c r="F73" s="20"/>
      <c r="G73" s="21" t="str">
        <f aca="false">IF($AB73="","",Cilësimet!$C$3*(INDEX(Cilësimet!$C$6:$C$10,MATCH($F73,Cilësimet!$A$6:$A$10,0))*N($E73)+INDEX(Cilësimet!$D$6:$D$10,MATCH($F73,Cilësimet!$A$6:$A$10,0))))</f>
        <v/>
      </c>
      <c r="H73" s="22" t="str">
        <f aca="false">IF($Z73=1,$AA73-1,"")</f>
        <v/>
      </c>
      <c r="I73" s="23"/>
      <c r="J73" s="1"/>
      <c r="K73" s="1"/>
      <c r="L73" s="1"/>
      <c r="M73" s="1"/>
      <c r="N73" s="1"/>
      <c r="O73" s="1"/>
      <c r="P73" s="1"/>
      <c r="Q73" s="1"/>
      <c r="R73" s="1"/>
      <c r="S73" s="1"/>
      <c r="Z73" s="24" t="n">
        <f aca="false">IF($AB73="",0,IF(ISNUMBER($B73),IF(AND($B73&gt;=N($B$3),OR(NOT(ISNUMBER($D$3)),$B73&lt;=$D$3)),1,0),1))</f>
        <v>0</v>
      </c>
      <c r="AA73" s="24" t="n">
        <f aca="false">$AA72*(1+IF($Z73=1,N($G73),0))</f>
        <v>1.0035</v>
      </c>
      <c r="AB73" s="0" t="str">
        <f aca="false">IF($F73="","",IFERROR(INDEX(Cilësimet!$B$6:$B$10,MATCH($F73,Cilësimet!$A$6:$A$10,0)),""))</f>
        <v/>
      </c>
    </row>
    <row r="74" customFormat="false" ht="18.75" hidden="false" customHeight="true" outlineLevel="0" collapsed="false">
      <c r="A74" s="1"/>
      <c r="B74" s="17"/>
      <c r="C74" s="18"/>
      <c r="D74" s="18"/>
      <c r="E74" s="19"/>
      <c r="F74" s="20"/>
      <c r="G74" s="21" t="str">
        <f aca="false">IF($AB74="","",Cilësimet!$C$3*(INDEX(Cilësimet!$C$6:$C$10,MATCH($F74,Cilësimet!$A$6:$A$10,0))*N($E74)+INDEX(Cilësimet!$D$6:$D$10,MATCH($F74,Cilësimet!$A$6:$A$10,0))))</f>
        <v/>
      </c>
      <c r="H74" s="22" t="str">
        <f aca="false">IF($Z74=1,$AA74-1,"")</f>
        <v/>
      </c>
      <c r="I74" s="23"/>
      <c r="J74" s="1"/>
      <c r="K74" s="1"/>
      <c r="L74" s="1"/>
      <c r="M74" s="1"/>
      <c r="N74" s="1"/>
      <c r="O74" s="1"/>
      <c r="P74" s="1"/>
      <c r="Q74" s="1"/>
      <c r="R74" s="1"/>
      <c r="S74" s="1"/>
      <c r="Z74" s="24" t="n">
        <f aca="false">IF($AB74="",0,IF(ISNUMBER($B74),IF(AND($B74&gt;=N($B$3),OR(NOT(ISNUMBER($D$3)),$B74&lt;=$D$3)),1,0),1))</f>
        <v>0</v>
      </c>
      <c r="AA74" s="24" t="n">
        <f aca="false">$AA73*(1+IF($Z74=1,N($G74),0))</f>
        <v>1.0035</v>
      </c>
      <c r="AB74" s="0" t="str">
        <f aca="false">IF($F74="","",IFERROR(INDEX(Cilësimet!$B$6:$B$10,MATCH($F74,Cilësimet!$A$6:$A$10,0)),""))</f>
        <v/>
      </c>
    </row>
    <row r="75" customFormat="false" ht="18.75" hidden="false" customHeight="true" outlineLevel="0" collapsed="false">
      <c r="A75" s="1"/>
      <c r="B75" s="17"/>
      <c r="C75" s="18"/>
      <c r="D75" s="18"/>
      <c r="E75" s="19"/>
      <c r="F75" s="20"/>
      <c r="G75" s="21" t="str">
        <f aca="false">IF($AB75="","",Cilësimet!$C$3*(INDEX(Cilësimet!$C$6:$C$10,MATCH($F75,Cilësimet!$A$6:$A$10,0))*N($E75)+INDEX(Cilësimet!$D$6:$D$10,MATCH($F75,Cilësimet!$A$6:$A$10,0))))</f>
        <v/>
      </c>
      <c r="H75" s="22" t="str">
        <f aca="false">IF($Z75=1,$AA75-1,"")</f>
        <v/>
      </c>
      <c r="I75" s="23"/>
      <c r="J75" s="1"/>
      <c r="K75" s="1"/>
      <c r="L75" s="1"/>
      <c r="M75" s="1"/>
      <c r="N75" s="1"/>
      <c r="O75" s="1"/>
      <c r="P75" s="1"/>
      <c r="Q75" s="1"/>
      <c r="R75" s="1"/>
      <c r="S75" s="1"/>
      <c r="Z75" s="24" t="n">
        <f aca="false">IF($AB75="",0,IF(ISNUMBER($B75),IF(AND($B75&gt;=N($B$3),OR(NOT(ISNUMBER($D$3)),$B75&lt;=$D$3)),1,0),1))</f>
        <v>0</v>
      </c>
      <c r="AA75" s="24" t="n">
        <f aca="false">$AA74*(1+IF($Z75=1,N($G75),0))</f>
        <v>1.0035</v>
      </c>
      <c r="AB75" s="0" t="str">
        <f aca="false">IF($F75="","",IFERROR(INDEX(Cilësimet!$B$6:$B$10,MATCH($F75,Cilësimet!$A$6:$A$10,0)),""))</f>
        <v/>
      </c>
    </row>
    <row r="76" customFormat="false" ht="18.75" hidden="false" customHeight="true" outlineLevel="0" collapsed="false">
      <c r="A76" s="1"/>
      <c r="B76" s="17"/>
      <c r="C76" s="18"/>
      <c r="D76" s="18"/>
      <c r="E76" s="19"/>
      <c r="F76" s="20"/>
      <c r="G76" s="21" t="str">
        <f aca="false">IF($AB76="","",Cilësimet!$C$3*(INDEX(Cilësimet!$C$6:$C$10,MATCH($F76,Cilësimet!$A$6:$A$10,0))*N($E76)+INDEX(Cilësimet!$D$6:$D$10,MATCH($F76,Cilësimet!$A$6:$A$10,0))))</f>
        <v/>
      </c>
      <c r="H76" s="22" t="str">
        <f aca="false">IF($Z76=1,$AA76-1,"")</f>
        <v/>
      </c>
      <c r="I76" s="23"/>
      <c r="J76" s="1"/>
      <c r="K76" s="1"/>
      <c r="L76" s="1"/>
      <c r="M76" s="1"/>
      <c r="N76" s="1"/>
      <c r="O76" s="1"/>
      <c r="P76" s="1"/>
      <c r="Q76" s="1"/>
      <c r="R76" s="1"/>
      <c r="S76" s="1"/>
      <c r="Z76" s="24" t="n">
        <f aca="false">IF($AB76="",0,IF(ISNUMBER($B76),IF(AND($B76&gt;=N($B$3),OR(NOT(ISNUMBER($D$3)),$B76&lt;=$D$3)),1,0),1))</f>
        <v>0</v>
      </c>
      <c r="AA76" s="24" t="n">
        <f aca="false">$AA75*(1+IF($Z76=1,N($G76),0))</f>
        <v>1.0035</v>
      </c>
      <c r="AB76" s="0" t="str">
        <f aca="false">IF($F76="","",IFERROR(INDEX(Cilësimet!$B$6:$B$10,MATCH($F76,Cilësimet!$A$6:$A$10,0)),""))</f>
        <v/>
      </c>
    </row>
    <row r="77" customFormat="false" ht="18.75" hidden="false" customHeight="true" outlineLevel="0" collapsed="false">
      <c r="A77" s="1"/>
      <c r="B77" s="17"/>
      <c r="C77" s="18"/>
      <c r="D77" s="18"/>
      <c r="E77" s="19"/>
      <c r="F77" s="20"/>
      <c r="G77" s="21" t="str">
        <f aca="false">IF($AB77="","",Cilësimet!$C$3*(INDEX(Cilësimet!$C$6:$C$10,MATCH($F77,Cilësimet!$A$6:$A$10,0))*N($E77)+INDEX(Cilësimet!$D$6:$D$10,MATCH($F77,Cilësimet!$A$6:$A$10,0))))</f>
        <v/>
      </c>
      <c r="H77" s="22" t="str">
        <f aca="false">IF($Z77=1,$AA77-1,"")</f>
        <v/>
      </c>
      <c r="I77" s="23"/>
      <c r="J77" s="1"/>
      <c r="K77" s="1"/>
      <c r="L77" s="1"/>
      <c r="M77" s="1"/>
      <c r="N77" s="1"/>
      <c r="O77" s="1"/>
      <c r="P77" s="1"/>
      <c r="Q77" s="1"/>
      <c r="R77" s="1"/>
      <c r="S77" s="1"/>
      <c r="Z77" s="24" t="n">
        <f aca="false">IF($AB77="",0,IF(ISNUMBER($B77),IF(AND($B77&gt;=N($B$3),OR(NOT(ISNUMBER($D$3)),$B77&lt;=$D$3)),1,0),1))</f>
        <v>0</v>
      </c>
      <c r="AA77" s="24" t="n">
        <f aca="false">$AA76*(1+IF($Z77=1,N($G77),0))</f>
        <v>1.0035</v>
      </c>
      <c r="AB77" s="0" t="str">
        <f aca="false">IF($F77="","",IFERROR(INDEX(Cilësimet!$B$6:$B$10,MATCH($F77,Cilësimet!$A$6:$A$10,0)),""))</f>
        <v/>
      </c>
    </row>
    <row r="78" customFormat="false" ht="18.75" hidden="false" customHeight="true" outlineLevel="0" collapsed="false">
      <c r="A78" s="1"/>
      <c r="B78" s="17"/>
      <c r="C78" s="18"/>
      <c r="D78" s="18"/>
      <c r="E78" s="19"/>
      <c r="F78" s="20"/>
      <c r="G78" s="21" t="str">
        <f aca="false">IF($AB78="","",Cilësimet!$C$3*(INDEX(Cilësimet!$C$6:$C$10,MATCH($F78,Cilësimet!$A$6:$A$10,0))*N($E78)+INDEX(Cilësimet!$D$6:$D$10,MATCH($F78,Cilësimet!$A$6:$A$10,0))))</f>
        <v/>
      </c>
      <c r="H78" s="22" t="str">
        <f aca="false">IF($Z78=1,$AA78-1,"")</f>
        <v/>
      </c>
      <c r="I78" s="23"/>
      <c r="J78" s="1"/>
      <c r="K78" s="1"/>
      <c r="L78" s="1"/>
      <c r="M78" s="1"/>
      <c r="N78" s="1"/>
      <c r="O78" s="1"/>
      <c r="P78" s="1"/>
      <c r="Q78" s="1"/>
      <c r="R78" s="1"/>
      <c r="S78" s="1"/>
      <c r="Z78" s="24" t="n">
        <f aca="false">IF($AB78="",0,IF(ISNUMBER($B78),IF(AND($B78&gt;=N($B$3),OR(NOT(ISNUMBER($D$3)),$B78&lt;=$D$3)),1,0),1))</f>
        <v>0</v>
      </c>
      <c r="AA78" s="24" t="n">
        <f aca="false">$AA77*(1+IF($Z78=1,N($G78),0))</f>
        <v>1.0035</v>
      </c>
      <c r="AB78" s="0" t="str">
        <f aca="false">IF($F78="","",IFERROR(INDEX(Cilësimet!$B$6:$B$10,MATCH($F78,Cilësimet!$A$6:$A$10,0)),""))</f>
        <v/>
      </c>
    </row>
    <row r="79" customFormat="false" ht="18.75" hidden="false" customHeight="true" outlineLevel="0" collapsed="false">
      <c r="A79" s="1"/>
      <c r="B79" s="17"/>
      <c r="C79" s="18"/>
      <c r="D79" s="18"/>
      <c r="E79" s="19"/>
      <c r="F79" s="20"/>
      <c r="G79" s="21" t="str">
        <f aca="false">IF($AB79="","",Cilësimet!$C$3*(INDEX(Cilësimet!$C$6:$C$10,MATCH($F79,Cilësimet!$A$6:$A$10,0))*N($E79)+INDEX(Cilësimet!$D$6:$D$10,MATCH($F79,Cilësimet!$A$6:$A$10,0))))</f>
        <v/>
      </c>
      <c r="H79" s="22" t="str">
        <f aca="false">IF($Z79=1,$AA79-1,"")</f>
        <v/>
      </c>
      <c r="I79" s="23"/>
      <c r="J79" s="1"/>
      <c r="K79" s="1"/>
      <c r="L79" s="1"/>
      <c r="M79" s="1"/>
      <c r="N79" s="1"/>
      <c r="O79" s="1"/>
      <c r="P79" s="1"/>
      <c r="Q79" s="1"/>
      <c r="R79" s="1"/>
      <c r="S79" s="1"/>
      <c r="Z79" s="24" t="n">
        <f aca="false">IF($AB79="",0,IF(ISNUMBER($B79),IF(AND($B79&gt;=N($B$3),OR(NOT(ISNUMBER($D$3)),$B79&lt;=$D$3)),1,0),1))</f>
        <v>0</v>
      </c>
      <c r="AA79" s="24" t="n">
        <f aca="false">$AA78*(1+IF($Z79=1,N($G79),0))</f>
        <v>1.0035</v>
      </c>
      <c r="AB79" s="0" t="str">
        <f aca="false">IF($F79="","",IFERROR(INDEX(Cilësimet!$B$6:$B$10,MATCH($F79,Cilësimet!$A$6:$A$10,0)),""))</f>
        <v/>
      </c>
    </row>
    <row r="80" customFormat="false" ht="18.75" hidden="false" customHeight="true" outlineLevel="0" collapsed="false">
      <c r="A80" s="1"/>
      <c r="B80" s="17"/>
      <c r="C80" s="18"/>
      <c r="D80" s="18"/>
      <c r="E80" s="19"/>
      <c r="F80" s="20"/>
      <c r="G80" s="21" t="str">
        <f aca="false">IF($AB80="","",Cilësimet!$C$3*(INDEX(Cilësimet!$C$6:$C$10,MATCH($F80,Cilësimet!$A$6:$A$10,0))*N($E80)+INDEX(Cilësimet!$D$6:$D$10,MATCH($F80,Cilësimet!$A$6:$A$10,0))))</f>
        <v/>
      </c>
      <c r="H80" s="22" t="str">
        <f aca="false">IF($Z80=1,$AA80-1,"")</f>
        <v/>
      </c>
      <c r="I80" s="23"/>
      <c r="J80" s="1"/>
      <c r="K80" s="1"/>
      <c r="L80" s="1"/>
      <c r="M80" s="1"/>
      <c r="N80" s="1"/>
      <c r="O80" s="1"/>
      <c r="P80" s="1"/>
      <c r="Q80" s="1"/>
      <c r="R80" s="1"/>
      <c r="S80" s="1"/>
      <c r="Z80" s="24" t="n">
        <f aca="false">IF($AB80="",0,IF(ISNUMBER($B80),IF(AND($B80&gt;=N($B$3),OR(NOT(ISNUMBER($D$3)),$B80&lt;=$D$3)),1,0),1))</f>
        <v>0</v>
      </c>
      <c r="AA80" s="24" t="n">
        <f aca="false">$AA79*(1+IF($Z80=1,N($G80),0))</f>
        <v>1.0035</v>
      </c>
      <c r="AB80" s="0" t="str">
        <f aca="false">IF($F80="","",IFERROR(INDEX(Cilësimet!$B$6:$B$10,MATCH($F80,Cilësimet!$A$6:$A$10,0)),""))</f>
        <v/>
      </c>
    </row>
    <row r="81" customFormat="false" ht="18.75" hidden="false" customHeight="true" outlineLevel="0" collapsed="false">
      <c r="A81" s="1"/>
      <c r="B81" s="17"/>
      <c r="C81" s="18"/>
      <c r="D81" s="18"/>
      <c r="E81" s="19"/>
      <c r="F81" s="20"/>
      <c r="G81" s="21" t="str">
        <f aca="false">IF($AB81="","",Cilësimet!$C$3*(INDEX(Cilësimet!$C$6:$C$10,MATCH($F81,Cilësimet!$A$6:$A$10,0))*N($E81)+INDEX(Cilësimet!$D$6:$D$10,MATCH($F81,Cilësimet!$A$6:$A$10,0))))</f>
        <v/>
      </c>
      <c r="H81" s="22" t="str">
        <f aca="false">IF($Z81=1,$AA81-1,"")</f>
        <v/>
      </c>
      <c r="I81" s="23"/>
      <c r="J81" s="1"/>
      <c r="K81" s="1"/>
      <c r="L81" s="1"/>
      <c r="M81" s="1"/>
      <c r="N81" s="1"/>
      <c r="O81" s="1"/>
      <c r="P81" s="1"/>
      <c r="Q81" s="1"/>
      <c r="R81" s="1"/>
      <c r="S81" s="1"/>
      <c r="Z81" s="24" t="n">
        <f aca="false">IF($AB81="",0,IF(ISNUMBER($B81),IF(AND($B81&gt;=N($B$3),OR(NOT(ISNUMBER($D$3)),$B81&lt;=$D$3)),1,0),1))</f>
        <v>0</v>
      </c>
      <c r="AA81" s="24" t="n">
        <f aca="false">$AA80*(1+IF($Z81=1,N($G81),0))</f>
        <v>1.0035</v>
      </c>
      <c r="AB81" s="0" t="str">
        <f aca="false">IF($F81="","",IFERROR(INDEX(Cilësimet!$B$6:$B$10,MATCH($F81,Cilësimet!$A$6:$A$10,0)),""))</f>
        <v/>
      </c>
    </row>
    <row r="82" customFormat="false" ht="18.75" hidden="false" customHeight="true" outlineLevel="0" collapsed="false">
      <c r="A82" s="1"/>
      <c r="B82" s="17"/>
      <c r="C82" s="18"/>
      <c r="D82" s="18"/>
      <c r="E82" s="19"/>
      <c r="F82" s="20"/>
      <c r="G82" s="21" t="str">
        <f aca="false">IF($AB82="","",Cilësimet!$C$3*(INDEX(Cilësimet!$C$6:$C$10,MATCH($F82,Cilësimet!$A$6:$A$10,0))*N($E82)+INDEX(Cilësimet!$D$6:$D$10,MATCH($F82,Cilësimet!$A$6:$A$10,0))))</f>
        <v/>
      </c>
      <c r="H82" s="22" t="str">
        <f aca="false">IF($Z82=1,$AA82-1,"")</f>
        <v/>
      </c>
      <c r="I82" s="23"/>
      <c r="J82" s="1"/>
      <c r="K82" s="1"/>
      <c r="L82" s="1"/>
      <c r="M82" s="1"/>
      <c r="N82" s="1"/>
      <c r="O82" s="1"/>
      <c r="P82" s="1"/>
      <c r="Q82" s="1"/>
      <c r="R82" s="1"/>
      <c r="S82" s="1"/>
      <c r="Z82" s="24" t="n">
        <f aca="false">IF($AB82="",0,IF(ISNUMBER($B82),IF(AND($B82&gt;=N($B$3),OR(NOT(ISNUMBER($D$3)),$B82&lt;=$D$3)),1,0),1))</f>
        <v>0</v>
      </c>
      <c r="AA82" s="24" t="n">
        <f aca="false">$AA81*(1+IF($Z82=1,N($G82),0))</f>
        <v>1.0035</v>
      </c>
      <c r="AB82" s="0" t="str">
        <f aca="false">IF($F82="","",IFERROR(INDEX(Cilësimet!$B$6:$B$10,MATCH($F82,Cilësimet!$A$6:$A$10,0)),""))</f>
        <v/>
      </c>
    </row>
    <row r="83" customFormat="false" ht="18.75" hidden="false" customHeight="true" outlineLevel="0" collapsed="false">
      <c r="A83" s="1"/>
      <c r="B83" s="17"/>
      <c r="C83" s="18"/>
      <c r="D83" s="18"/>
      <c r="E83" s="19"/>
      <c r="F83" s="20"/>
      <c r="G83" s="21" t="str">
        <f aca="false">IF($AB83="","",Cilësimet!$C$3*(INDEX(Cilësimet!$C$6:$C$10,MATCH($F83,Cilësimet!$A$6:$A$10,0))*N($E83)+INDEX(Cilësimet!$D$6:$D$10,MATCH($F83,Cilësimet!$A$6:$A$10,0))))</f>
        <v/>
      </c>
      <c r="H83" s="22" t="str">
        <f aca="false">IF($Z83=1,$AA83-1,"")</f>
        <v/>
      </c>
      <c r="I83" s="23"/>
      <c r="J83" s="1"/>
      <c r="K83" s="1"/>
      <c r="L83" s="1"/>
      <c r="M83" s="1"/>
      <c r="N83" s="1"/>
      <c r="O83" s="1"/>
      <c r="P83" s="1"/>
      <c r="Q83" s="1"/>
      <c r="R83" s="1"/>
      <c r="S83" s="1"/>
      <c r="Z83" s="24" t="n">
        <f aca="false">IF($AB83="",0,IF(ISNUMBER($B83),IF(AND($B83&gt;=N($B$3),OR(NOT(ISNUMBER($D$3)),$B83&lt;=$D$3)),1,0),1))</f>
        <v>0</v>
      </c>
      <c r="AA83" s="24" t="n">
        <f aca="false">$AA82*(1+IF($Z83=1,N($G83),0))</f>
        <v>1.0035</v>
      </c>
      <c r="AB83" s="0" t="str">
        <f aca="false">IF($F83="","",IFERROR(INDEX(Cilësimet!$B$6:$B$10,MATCH($F83,Cilësimet!$A$6:$A$10,0)),""))</f>
        <v/>
      </c>
    </row>
    <row r="84" customFormat="false" ht="18.75" hidden="false" customHeight="true" outlineLevel="0" collapsed="false">
      <c r="A84" s="1"/>
      <c r="B84" s="17"/>
      <c r="C84" s="18"/>
      <c r="D84" s="18"/>
      <c r="E84" s="19"/>
      <c r="F84" s="20"/>
      <c r="G84" s="21" t="str">
        <f aca="false">IF($AB84="","",Cilësimet!$C$3*(INDEX(Cilësimet!$C$6:$C$10,MATCH($F84,Cilësimet!$A$6:$A$10,0))*N($E84)+INDEX(Cilësimet!$D$6:$D$10,MATCH($F84,Cilësimet!$A$6:$A$10,0))))</f>
        <v/>
      </c>
      <c r="H84" s="22" t="str">
        <f aca="false">IF($Z84=1,$AA84-1,"")</f>
        <v/>
      </c>
      <c r="I84" s="23"/>
      <c r="J84" s="1"/>
      <c r="K84" s="1"/>
      <c r="L84" s="1"/>
      <c r="M84" s="1"/>
      <c r="N84" s="1"/>
      <c r="O84" s="1"/>
      <c r="P84" s="1"/>
      <c r="Q84" s="1"/>
      <c r="R84" s="1"/>
      <c r="S84" s="1"/>
      <c r="Z84" s="24" t="n">
        <f aca="false">IF($AB84="",0,IF(ISNUMBER($B84),IF(AND($B84&gt;=N($B$3),OR(NOT(ISNUMBER($D$3)),$B84&lt;=$D$3)),1,0),1))</f>
        <v>0</v>
      </c>
      <c r="AA84" s="24" t="n">
        <f aca="false">$AA83*(1+IF($Z84=1,N($G84),0))</f>
        <v>1.0035</v>
      </c>
      <c r="AB84" s="0" t="str">
        <f aca="false">IF($F84="","",IFERROR(INDEX(Cilësimet!$B$6:$B$10,MATCH($F84,Cilësimet!$A$6:$A$10,0)),""))</f>
        <v/>
      </c>
    </row>
    <row r="85" customFormat="false" ht="18.75" hidden="false" customHeight="true" outlineLevel="0" collapsed="false">
      <c r="A85" s="1"/>
      <c r="B85" s="17"/>
      <c r="C85" s="18"/>
      <c r="D85" s="18"/>
      <c r="E85" s="19"/>
      <c r="F85" s="20"/>
      <c r="G85" s="21" t="str">
        <f aca="false">IF($AB85="","",Cilësimet!$C$3*(INDEX(Cilësimet!$C$6:$C$10,MATCH($F85,Cilësimet!$A$6:$A$10,0))*N($E85)+INDEX(Cilësimet!$D$6:$D$10,MATCH($F85,Cilësimet!$A$6:$A$10,0))))</f>
        <v/>
      </c>
      <c r="H85" s="22" t="str">
        <f aca="false">IF($Z85=1,$AA85-1,"")</f>
        <v/>
      </c>
      <c r="I85" s="23"/>
      <c r="J85" s="1"/>
      <c r="K85" s="1"/>
      <c r="L85" s="1"/>
      <c r="M85" s="1"/>
      <c r="N85" s="1"/>
      <c r="O85" s="1"/>
      <c r="P85" s="1"/>
      <c r="Q85" s="1"/>
      <c r="R85" s="1"/>
      <c r="S85" s="1"/>
      <c r="Z85" s="24" t="n">
        <f aca="false">IF($AB85="",0,IF(ISNUMBER($B85),IF(AND($B85&gt;=N($B$3),OR(NOT(ISNUMBER($D$3)),$B85&lt;=$D$3)),1,0),1))</f>
        <v>0</v>
      </c>
      <c r="AA85" s="24" t="n">
        <f aca="false">$AA84*(1+IF($Z85=1,N($G85),0))</f>
        <v>1.0035</v>
      </c>
      <c r="AB85" s="0" t="str">
        <f aca="false">IF($F85="","",IFERROR(INDEX(Cilësimet!$B$6:$B$10,MATCH($F85,Cilësimet!$A$6:$A$10,0)),""))</f>
        <v/>
      </c>
    </row>
    <row r="86" customFormat="false" ht="18.75" hidden="false" customHeight="true" outlineLevel="0" collapsed="false">
      <c r="A86" s="1"/>
      <c r="B86" s="17"/>
      <c r="C86" s="18"/>
      <c r="D86" s="18"/>
      <c r="E86" s="19"/>
      <c r="F86" s="20"/>
      <c r="G86" s="21" t="str">
        <f aca="false">IF($AB86="","",Cilësimet!$C$3*(INDEX(Cilësimet!$C$6:$C$10,MATCH($F86,Cilësimet!$A$6:$A$10,0))*N($E86)+INDEX(Cilësimet!$D$6:$D$10,MATCH($F86,Cilësimet!$A$6:$A$10,0))))</f>
        <v/>
      </c>
      <c r="H86" s="22" t="str">
        <f aca="false">IF($Z86=1,$AA86-1,"")</f>
        <v/>
      </c>
      <c r="I86" s="23"/>
      <c r="J86" s="1"/>
      <c r="K86" s="1"/>
      <c r="L86" s="1"/>
      <c r="M86" s="1"/>
      <c r="N86" s="1"/>
      <c r="O86" s="1"/>
      <c r="P86" s="1"/>
      <c r="Q86" s="1"/>
      <c r="R86" s="1"/>
      <c r="S86" s="1"/>
      <c r="Z86" s="24" t="n">
        <f aca="false">IF($AB86="",0,IF(ISNUMBER($B86),IF(AND($B86&gt;=N($B$3),OR(NOT(ISNUMBER($D$3)),$B86&lt;=$D$3)),1,0),1))</f>
        <v>0</v>
      </c>
      <c r="AA86" s="24" t="n">
        <f aca="false">$AA85*(1+IF($Z86=1,N($G86),0))</f>
        <v>1.0035</v>
      </c>
      <c r="AB86" s="0" t="str">
        <f aca="false">IF($F86="","",IFERROR(INDEX(Cilësimet!$B$6:$B$10,MATCH($F86,Cilësimet!$A$6:$A$10,0)),""))</f>
        <v/>
      </c>
    </row>
    <row r="87" customFormat="false" ht="18.75" hidden="false" customHeight="true" outlineLevel="0" collapsed="false">
      <c r="A87" s="1"/>
      <c r="B87" s="17"/>
      <c r="C87" s="18"/>
      <c r="D87" s="18"/>
      <c r="E87" s="19"/>
      <c r="F87" s="20"/>
      <c r="G87" s="21" t="str">
        <f aca="false">IF($AB87="","",Cilësimet!$C$3*(INDEX(Cilësimet!$C$6:$C$10,MATCH($F87,Cilësimet!$A$6:$A$10,0))*N($E87)+INDEX(Cilësimet!$D$6:$D$10,MATCH($F87,Cilësimet!$A$6:$A$10,0))))</f>
        <v/>
      </c>
      <c r="H87" s="22" t="str">
        <f aca="false">IF($Z87=1,$AA87-1,"")</f>
        <v/>
      </c>
      <c r="I87" s="23"/>
      <c r="J87" s="1"/>
      <c r="K87" s="1"/>
      <c r="L87" s="1"/>
      <c r="M87" s="1"/>
      <c r="N87" s="1"/>
      <c r="O87" s="1"/>
      <c r="P87" s="1"/>
      <c r="Q87" s="1"/>
      <c r="R87" s="1"/>
      <c r="S87" s="1"/>
      <c r="Z87" s="24" t="n">
        <f aca="false">IF($AB87="",0,IF(ISNUMBER($B87),IF(AND($B87&gt;=N($B$3),OR(NOT(ISNUMBER($D$3)),$B87&lt;=$D$3)),1,0),1))</f>
        <v>0</v>
      </c>
      <c r="AA87" s="24" t="n">
        <f aca="false">$AA86*(1+IF($Z87=1,N($G87),0))</f>
        <v>1.0035</v>
      </c>
      <c r="AB87" s="0" t="str">
        <f aca="false">IF($F87="","",IFERROR(INDEX(Cilësimet!$B$6:$B$10,MATCH($F87,Cilësimet!$A$6:$A$10,0)),""))</f>
        <v/>
      </c>
    </row>
    <row r="88" customFormat="false" ht="18.75" hidden="false" customHeight="true" outlineLevel="0" collapsed="false">
      <c r="A88" s="1"/>
      <c r="B88" s="17"/>
      <c r="C88" s="18"/>
      <c r="D88" s="18"/>
      <c r="E88" s="19"/>
      <c r="F88" s="20"/>
      <c r="G88" s="21" t="str">
        <f aca="false">IF($AB88="","",Cilësimet!$C$3*(INDEX(Cilësimet!$C$6:$C$10,MATCH($F88,Cilësimet!$A$6:$A$10,0))*N($E88)+INDEX(Cilësimet!$D$6:$D$10,MATCH($F88,Cilësimet!$A$6:$A$10,0))))</f>
        <v/>
      </c>
      <c r="H88" s="22" t="str">
        <f aca="false">IF($Z88=1,$AA88-1,"")</f>
        <v/>
      </c>
      <c r="I88" s="23"/>
      <c r="J88" s="1"/>
      <c r="K88" s="1"/>
      <c r="L88" s="1"/>
      <c r="M88" s="1"/>
      <c r="N88" s="1"/>
      <c r="O88" s="1"/>
      <c r="P88" s="1"/>
      <c r="Q88" s="1"/>
      <c r="R88" s="1"/>
      <c r="S88" s="1"/>
      <c r="Z88" s="24" t="n">
        <f aca="false">IF($AB88="",0,IF(ISNUMBER($B88),IF(AND($B88&gt;=N($B$3),OR(NOT(ISNUMBER($D$3)),$B88&lt;=$D$3)),1,0),1))</f>
        <v>0</v>
      </c>
      <c r="AA88" s="24" t="n">
        <f aca="false">$AA87*(1+IF($Z88=1,N($G88),0))</f>
        <v>1.0035</v>
      </c>
      <c r="AB88" s="0" t="str">
        <f aca="false">IF($F88="","",IFERROR(INDEX(Cilësimet!$B$6:$B$10,MATCH($F88,Cilësimet!$A$6:$A$10,0)),""))</f>
        <v/>
      </c>
    </row>
    <row r="89" customFormat="false" ht="18.75" hidden="false" customHeight="true" outlineLevel="0" collapsed="false">
      <c r="A89" s="1"/>
      <c r="B89" s="17"/>
      <c r="C89" s="18"/>
      <c r="D89" s="18"/>
      <c r="E89" s="19"/>
      <c r="F89" s="20"/>
      <c r="G89" s="21" t="str">
        <f aca="false">IF($AB89="","",Cilësimet!$C$3*(INDEX(Cilësimet!$C$6:$C$10,MATCH($F89,Cilësimet!$A$6:$A$10,0))*N($E89)+INDEX(Cilësimet!$D$6:$D$10,MATCH($F89,Cilësimet!$A$6:$A$10,0))))</f>
        <v/>
      </c>
      <c r="H89" s="22" t="str">
        <f aca="false">IF($Z89=1,$AA89-1,"")</f>
        <v/>
      </c>
      <c r="I89" s="23"/>
      <c r="J89" s="1"/>
      <c r="K89" s="1"/>
      <c r="L89" s="1"/>
      <c r="M89" s="1"/>
      <c r="N89" s="1"/>
      <c r="O89" s="1"/>
      <c r="P89" s="1"/>
      <c r="Q89" s="1"/>
      <c r="R89" s="1"/>
      <c r="S89" s="1"/>
      <c r="Z89" s="24" t="n">
        <f aca="false">IF($AB89="",0,IF(ISNUMBER($B89),IF(AND($B89&gt;=N($B$3),OR(NOT(ISNUMBER($D$3)),$B89&lt;=$D$3)),1,0),1))</f>
        <v>0</v>
      </c>
      <c r="AA89" s="24" t="n">
        <f aca="false">$AA88*(1+IF($Z89=1,N($G89),0))</f>
        <v>1.0035</v>
      </c>
      <c r="AB89" s="0" t="str">
        <f aca="false">IF($F89="","",IFERROR(INDEX(Cilësimet!$B$6:$B$10,MATCH($F89,Cilësimet!$A$6:$A$10,0)),""))</f>
        <v/>
      </c>
    </row>
    <row r="90" customFormat="false" ht="18.75" hidden="false" customHeight="true" outlineLevel="0" collapsed="false">
      <c r="A90" s="1"/>
      <c r="B90" s="17"/>
      <c r="C90" s="18"/>
      <c r="D90" s="18"/>
      <c r="E90" s="19"/>
      <c r="F90" s="20"/>
      <c r="G90" s="21" t="str">
        <f aca="false">IF($AB90="","",Cilësimet!$C$3*(INDEX(Cilësimet!$C$6:$C$10,MATCH($F90,Cilësimet!$A$6:$A$10,0))*N($E90)+INDEX(Cilësimet!$D$6:$D$10,MATCH($F90,Cilësimet!$A$6:$A$10,0))))</f>
        <v/>
      </c>
      <c r="H90" s="22" t="str">
        <f aca="false">IF($Z90=1,$AA90-1,"")</f>
        <v/>
      </c>
      <c r="I90" s="23"/>
      <c r="J90" s="1"/>
      <c r="K90" s="1"/>
      <c r="L90" s="1"/>
      <c r="M90" s="1"/>
      <c r="N90" s="1"/>
      <c r="O90" s="1"/>
      <c r="P90" s="1"/>
      <c r="Q90" s="1"/>
      <c r="R90" s="1"/>
      <c r="S90" s="1"/>
      <c r="Z90" s="24" t="n">
        <f aca="false">IF($AB90="",0,IF(ISNUMBER($B90),IF(AND($B90&gt;=N($B$3),OR(NOT(ISNUMBER($D$3)),$B90&lt;=$D$3)),1,0),1))</f>
        <v>0</v>
      </c>
      <c r="AA90" s="24" t="n">
        <f aca="false">$AA89*(1+IF($Z90=1,N($G90),0))</f>
        <v>1.0035</v>
      </c>
      <c r="AB90" s="0" t="str">
        <f aca="false">IF($F90="","",IFERROR(INDEX(Cilësimet!$B$6:$B$10,MATCH($F90,Cilësimet!$A$6:$A$10,0)),""))</f>
        <v/>
      </c>
    </row>
    <row r="91" customFormat="false" ht="18.75" hidden="false" customHeight="true" outlineLevel="0" collapsed="false">
      <c r="A91" s="1"/>
      <c r="B91" s="17"/>
      <c r="C91" s="18"/>
      <c r="D91" s="18"/>
      <c r="E91" s="19"/>
      <c r="F91" s="20"/>
      <c r="G91" s="21" t="str">
        <f aca="false">IF($AB91="","",Cilësimet!$C$3*(INDEX(Cilësimet!$C$6:$C$10,MATCH($F91,Cilësimet!$A$6:$A$10,0))*N($E91)+INDEX(Cilësimet!$D$6:$D$10,MATCH($F91,Cilësimet!$A$6:$A$10,0))))</f>
        <v/>
      </c>
      <c r="H91" s="22" t="str">
        <f aca="false">IF($Z91=1,$AA91-1,"")</f>
        <v/>
      </c>
      <c r="I91" s="23"/>
      <c r="J91" s="1"/>
      <c r="K91" s="1"/>
      <c r="L91" s="1"/>
      <c r="M91" s="1"/>
      <c r="N91" s="1"/>
      <c r="O91" s="1"/>
      <c r="P91" s="1"/>
      <c r="Q91" s="1"/>
      <c r="R91" s="1"/>
      <c r="S91" s="1"/>
      <c r="Z91" s="24" t="n">
        <f aca="false">IF($AB91="",0,IF(ISNUMBER($B91),IF(AND($B91&gt;=N($B$3),OR(NOT(ISNUMBER($D$3)),$B91&lt;=$D$3)),1,0),1))</f>
        <v>0</v>
      </c>
      <c r="AA91" s="24" t="n">
        <f aca="false">$AA90*(1+IF($Z91=1,N($G91),0))</f>
        <v>1.0035</v>
      </c>
      <c r="AB91" s="0" t="str">
        <f aca="false">IF($F91="","",IFERROR(INDEX(Cilësimet!$B$6:$B$10,MATCH($F91,Cilësimet!$A$6:$A$10,0)),""))</f>
        <v/>
      </c>
    </row>
    <row r="92" customFormat="false" ht="18.75" hidden="false" customHeight="true" outlineLevel="0" collapsed="false">
      <c r="A92" s="1"/>
      <c r="B92" s="17"/>
      <c r="C92" s="18"/>
      <c r="D92" s="18"/>
      <c r="E92" s="19"/>
      <c r="F92" s="20"/>
      <c r="G92" s="21" t="str">
        <f aca="false">IF($AB92="","",Cilësimet!$C$3*(INDEX(Cilësimet!$C$6:$C$10,MATCH($F92,Cilësimet!$A$6:$A$10,0))*N($E92)+INDEX(Cilësimet!$D$6:$D$10,MATCH($F92,Cilësimet!$A$6:$A$10,0))))</f>
        <v/>
      </c>
      <c r="H92" s="22" t="str">
        <f aca="false">IF($Z92=1,$AA92-1,"")</f>
        <v/>
      </c>
      <c r="I92" s="23"/>
      <c r="J92" s="1"/>
      <c r="K92" s="1"/>
      <c r="L92" s="1"/>
      <c r="M92" s="1"/>
      <c r="N92" s="1"/>
      <c r="O92" s="1"/>
      <c r="P92" s="1"/>
      <c r="Q92" s="1"/>
      <c r="R92" s="1"/>
      <c r="S92" s="1"/>
      <c r="Z92" s="24" t="n">
        <f aca="false">IF($AB92="",0,IF(ISNUMBER($B92),IF(AND($B92&gt;=N($B$3),OR(NOT(ISNUMBER($D$3)),$B92&lt;=$D$3)),1,0),1))</f>
        <v>0</v>
      </c>
      <c r="AA92" s="24" t="n">
        <f aca="false">$AA91*(1+IF($Z92=1,N($G92),0))</f>
        <v>1.0035</v>
      </c>
      <c r="AB92" s="0" t="str">
        <f aca="false">IF($F92="","",IFERROR(INDEX(Cilësimet!$B$6:$B$10,MATCH($F92,Cilësimet!$A$6:$A$10,0)),""))</f>
        <v/>
      </c>
    </row>
    <row r="93" customFormat="false" ht="18.75" hidden="false" customHeight="true" outlineLevel="0" collapsed="false">
      <c r="A93" s="1"/>
      <c r="B93" s="17"/>
      <c r="C93" s="18"/>
      <c r="D93" s="18"/>
      <c r="E93" s="19"/>
      <c r="F93" s="20"/>
      <c r="G93" s="21" t="str">
        <f aca="false">IF($AB93="","",Cilësimet!$C$3*(INDEX(Cilësimet!$C$6:$C$10,MATCH($F93,Cilësimet!$A$6:$A$10,0))*N($E93)+INDEX(Cilësimet!$D$6:$D$10,MATCH($F93,Cilësimet!$A$6:$A$10,0))))</f>
        <v/>
      </c>
      <c r="H93" s="22" t="str">
        <f aca="false">IF($Z93=1,$AA93-1,"")</f>
        <v/>
      </c>
      <c r="I93" s="23"/>
      <c r="J93" s="1"/>
      <c r="K93" s="1"/>
      <c r="L93" s="1"/>
      <c r="M93" s="1"/>
      <c r="N93" s="1"/>
      <c r="O93" s="1"/>
      <c r="P93" s="1"/>
      <c r="Q93" s="1"/>
      <c r="R93" s="1"/>
      <c r="S93" s="1"/>
      <c r="Z93" s="24" t="n">
        <f aca="false">IF($AB93="",0,IF(ISNUMBER($B93),IF(AND($B93&gt;=N($B$3),OR(NOT(ISNUMBER($D$3)),$B93&lt;=$D$3)),1,0),1))</f>
        <v>0</v>
      </c>
      <c r="AA93" s="24" t="n">
        <f aca="false">$AA92*(1+IF($Z93=1,N($G93),0))</f>
        <v>1.0035</v>
      </c>
      <c r="AB93" s="0" t="str">
        <f aca="false">IF($F93="","",IFERROR(INDEX(Cilësimet!$B$6:$B$10,MATCH($F93,Cilësimet!$A$6:$A$10,0)),""))</f>
        <v/>
      </c>
    </row>
    <row r="94" customFormat="false" ht="18.75" hidden="false" customHeight="true" outlineLevel="0" collapsed="false">
      <c r="A94" s="1"/>
      <c r="B94" s="17"/>
      <c r="C94" s="18"/>
      <c r="D94" s="18"/>
      <c r="E94" s="19"/>
      <c r="F94" s="20"/>
      <c r="G94" s="21" t="str">
        <f aca="false">IF($AB94="","",Cilësimet!$C$3*(INDEX(Cilësimet!$C$6:$C$10,MATCH($F94,Cilësimet!$A$6:$A$10,0))*N($E94)+INDEX(Cilësimet!$D$6:$D$10,MATCH($F94,Cilësimet!$A$6:$A$10,0))))</f>
        <v/>
      </c>
      <c r="H94" s="22" t="str">
        <f aca="false">IF($Z94=1,$AA94-1,"")</f>
        <v/>
      </c>
      <c r="I94" s="23"/>
      <c r="J94" s="1"/>
      <c r="K94" s="1"/>
      <c r="L94" s="1"/>
      <c r="M94" s="1"/>
      <c r="N94" s="1"/>
      <c r="O94" s="1"/>
      <c r="P94" s="1"/>
      <c r="Q94" s="1"/>
      <c r="R94" s="1"/>
      <c r="S94" s="1"/>
      <c r="Z94" s="24" t="n">
        <f aca="false">IF($AB94="",0,IF(ISNUMBER($B94),IF(AND($B94&gt;=N($B$3),OR(NOT(ISNUMBER($D$3)),$B94&lt;=$D$3)),1,0),1))</f>
        <v>0</v>
      </c>
      <c r="AA94" s="24" t="n">
        <f aca="false">$AA93*(1+IF($Z94=1,N($G94),0))</f>
        <v>1.0035</v>
      </c>
      <c r="AB94" s="0" t="str">
        <f aca="false">IF($F94="","",IFERROR(INDEX(Cilësimet!$B$6:$B$10,MATCH($F94,Cilësimet!$A$6:$A$10,0)),""))</f>
        <v/>
      </c>
    </row>
    <row r="95" customFormat="false" ht="18.75" hidden="false" customHeight="true" outlineLevel="0" collapsed="false">
      <c r="A95" s="1"/>
      <c r="B95" s="17"/>
      <c r="C95" s="18"/>
      <c r="D95" s="18"/>
      <c r="E95" s="19"/>
      <c r="F95" s="20"/>
      <c r="G95" s="21" t="str">
        <f aca="false">IF($AB95="","",Cilësimet!$C$3*(INDEX(Cilësimet!$C$6:$C$10,MATCH($F95,Cilësimet!$A$6:$A$10,0))*N($E95)+INDEX(Cilësimet!$D$6:$D$10,MATCH($F95,Cilësimet!$A$6:$A$10,0))))</f>
        <v/>
      </c>
      <c r="H95" s="22" t="str">
        <f aca="false">IF($Z95=1,$AA95-1,"")</f>
        <v/>
      </c>
      <c r="I95" s="23"/>
      <c r="J95" s="1"/>
      <c r="K95" s="1"/>
      <c r="L95" s="1"/>
      <c r="M95" s="1"/>
      <c r="N95" s="1"/>
      <c r="O95" s="1"/>
      <c r="P95" s="1"/>
      <c r="Q95" s="1"/>
      <c r="R95" s="1"/>
      <c r="S95" s="1"/>
      <c r="Z95" s="24" t="n">
        <f aca="false">IF($AB95="",0,IF(ISNUMBER($B95),IF(AND($B95&gt;=N($B$3),OR(NOT(ISNUMBER($D$3)),$B95&lt;=$D$3)),1,0),1))</f>
        <v>0</v>
      </c>
      <c r="AA95" s="24" t="n">
        <f aca="false">$AA94*(1+IF($Z95=1,N($G95),0))</f>
        <v>1.0035</v>
      </c>
      <c r="AB95" s="0" t="str">
        <f aca="false">IF($F95="","",IFERROR(INDEX(Cilësimet!$B$6:$B$10,MATCH($F95,Cilësimet!$A$6:$A$10,0)),""))</f>
        <v/>
      </c>
    </row>
    <row r="96" customFormat="false" ht="18.75" hidden="false" customHeight="true" outlineLevel="0" collapsed="false">
      <c r="A96" s="1"/>
      <c r="B96" s="17"/>
      <c r="C96" s="18"/>
      <c r="D96" s="18"/>
      <c r="E96" s="19"/>
      <c r="F96" s="20"/>
      <c r="G96" s="21" t="str">
        <f aca="false">IF($AB96="","",Cilësimet!$C$3*(INDEX(Cilësimet!$C$6:$C$10,MATCH($F96,Cilësimet!$A$6:$A$10,0))*N($E96)+INDEX(Cilësimet!$D$6:$D$10,MATCH($F96,Cilësimet!$A$6:$A$10,0))))</f>
        <v/>
      </c>
      <c r="H96" s="22" t="str">
        <f aca="false">IF($Z96=1,$AA96-1,"")</f>
        <v/>
      </c>
      <c r="I96" s="23"/>
      <c r="J96" s="1"/>
      <c r="K96" s="1"/>
      <c r="L96" s="1"/>
      <c r="M96" s="1"/>
      <c r="N96" s="1"/>
      <c r="O96" s="1"/>
      <c r="P96" s="1"/>
      <c r="Q96" s="1"/>
      <c r="R96" s="1"/>
      <c r="S96" s="1"/>
      <c r="Z96" s="24" t="n">
        <f aca="false">IF($AB96="",0,IF(ISNUMBER($B96),IF(AND($B96&gt;=N($B$3),OR(NOT(ISNUMBER($D$3)),$B96&lt;=$D$3)),1,0),1))</f>
        <v>0</v>
      </c>
      <c r="AA96" s="24" t="n">
        <f aca="false">$AA95*(1+IF($Z96=1,N($G96),0))</f>
        <v>1.0035</v>
      </c>
      <c r="AB96" s="0" t="str">
        <f aca="false">IF($F96="","",IFERROR(INDEX(Cilësimet!$B$6:$B$10,MATCH($F96,Cilësimet!$A$6:$A$10,0)),""))</f>
        <v/>
      </c>
    </row>
    <row r="97" customFormat="false" ht="18.75" hidden="false" customHeight="true" outlineLevel="0" collapsed="false">
      <c r="A97" s="1"/>
      <c r="B97" s="17"/>
      <c r="C97" s="18"/>
      <c r="D97" s="18"/>
      <c r="E97" s="19"/>
      <c r="F97" s="20"/>
      <c r="G97" s="21" t="str">
        <f aca="false">IF($AB97="","",Cilësimet!$C$3*(INDEX(Cilësimet!$C$6:$C$10,MATCH($F97,Cilësimet!$A$6:$A$10,0))*N($E97)+INDEX(Cilësimet!$D$6:$D$10,MATCH($F97,Cilësimet!$A$6:$A$10,0))))</f>
        <v/>
      </c>
      <c r="H97" s="22" t="str">
        <f aca="false">IF($Z97=1,$AA97-1,"")</f>
        <v/>
      </c>
      <c r="I97" s="23"/>
      <c r="J97" s="1"/>
      <c r="K97" s="1"/>
      <c r="L97" s="1"/>
      <c r="M97" s="1"/>
      <c r="N97" s="1"/>
      <c r="O97" s="1"/>
      <c r="P97" s="1"/>
      <c r="Q97" s="1"/>
      <c r="R97" s="1"/>
      <c r="S97" s="1"/>
      <c r="Z97" s="24" t="n">
        <f aca="false">IF($AB97="",0,IF(ISNUMBER($B97),IF(AND($B97&gt;=N($B$3),OR(NOT(ISNUMBER($D$3)),$B97&lt;=$D$3)),1,0),1))</f>
        <v>0</v>
      </c>
      <c r="AA97" s="24" t="n">
        <f aca="false">$AA96*(1+IF($Z97=1,N($G97),0))</f>
        <v>1.0035</v>
      </c>
      <c r="AB97" s="0" t="str">
        <f aca="false">IF($F97="","",IFERROR(INDEX(Cilësimet!$B$6:$B$10,MATCH($F97,Cilësimet!$A$6:$A$10,0)),""))</f>
        <v/>
      </c>
    </row>
    <row r="98" customFormat="false" ht="18.75" hidden="false" customHeight="true" outlineLevel="0" collapsed="false">
      <c r="A98" s="1"/>
      <c r="B98" s="17"/>
      <c r="C98" s="18"/>
      <c r="D98" s="18"/>
      <c r="E98" s="19"/>
      <c r="F98" s="20"/>
      <c r="G98" s="21" t="str">
        <f aca="false">IF($AB98="","",Cilësimet!$C$3*(INDEX(Cilësimet!$C$6:$C$10,MATCH($F98,Cilësimet!$A$6:$A$10,0))*N($E98)+INDEX(Cilësimet!$D$6:$D$10,MATCH($F98,Cilësimet!$A$6:$A$10,0))))</f>
        <v/>
      </c>
      <c r="H98" s="22" t="str">
        <f aca="false">IF($Z98=1,$AA98-1,"")</f>
        <v/>
      </c>
      <c r="I98" s="23"/>
      <c r="J98" s="1"/>
      <c r="K98" s="1"/>
      <c r="L98" s="1"/>
      <c r="M98" s="1"/>
      <c r="N98" s="1"/>
      <c r="O98" s="1"/>
      <c r="P98" s="1"/>
      <c r="Q98" s="1"/>
      <c r="R98" s="1"/>
      <c r="S98" s="1"/>
      <c r="Z98" s="24" t="n">
        <f aca="false">IF($AB98="",0,IF(ISNUMBER($B98),IF(AND($B98&gt;=N($B$3),OR(NOT(ISNUMBER($D$3)),$B98&lt;=$D$3)),1,0),1))</f>
        <v>0</v>
      </c>
      <c r="AA98" s="24" t="n">
        <f aca="false">$AA97*(1+IF($Z98=1,N($G98),0))</f>
        <v>1.0035</v>
      </c>
      <c r="AB98" s="0" t="str">
        <f aca="false">IF($F98="","",IFERROR(INDEX(Cilësimet!$B$6:$B$10,MATCH($F98,Cilësimet!$A$6:$A$10,0)),""))</f>
        <v/>
      </c>
    </row>
    <row r="99" customFormat="false" ht="18.75" hidden="false" customHeight="true" outlineLevel="0" collapsed="false">
      <c r="A99" s="1"/>
      <c r="B99" s="17"/>
      <c r="C99" s="18"/>
      <c r="D99" s="18"/>
      <c r="E99" s="19"/>
      <c r="F99" s="20"/>
      <c r="G99" s="21" t="str">
        <f aca="false">IF($AB99="","",Cilësimet!$C$3*(INDEX(Cilësimet!$C$6:$C$10,MATCH($F99,Cilësimet!$A$6:$A$10,0))*N($E99)+INDEX(Cilësimet!$D$6:$D$10,MATCH($F99,Cilësimet!$A$6:$A$10,0))))</f>
        <v/>
      </c>
      <c r="H99" s="22" t="str">
        <f aca="false">IF($Z99=1,$AA99-1,"")</f>
        <v/>
      </c>
      <c r="I99" s="23"/>
      <c r="J99" s="1"/>
      <c r="K99" s="1"/>
      <c r="L99" s="1"/>
      <c r="M99" s="1"/>
      <c r="N99" s="1"/>
      <c r="O99" s="1"/>
      <c r="P99" s="1"/>
      <c r="Q99" s="1"/>
      <c r="R99" s="1"/>
      <c r="S99" s="1"/>
      <c r="Z99" s="24" t="n">
        <f aca="false">IF($AB99="",0,IF(ISNUMBER($B99),IF(AND($B99&gt;=N($B$3),OR(NOT(ISNUMBER($D$3)),$B99&lt;=$D$3)),1,0),1))</f>
        <v>0</v>
      </c>
      <c r="AA99" s="24" t="n">
        <f aca="false">$AA98*(1+IF($Z99=1,N($G99),0))</f>
        <v>1.0035</v>
      </c>
      <c r="AB99" s="0" t="str">
        <f aca="false">IF($F99="","",IFERROR(INDEX(Cilësimet!$B$6:$B$10,MATCH($F99,Cilësimet!$A$6:$A$10,0)),""))</f>
        <v/>
      </c>
    </row>
    <row r="100" customFormat="false" ht="18.75" hidden="false" customHeight="true" outlineLevel="0" collapsed="false">
      <c r="A100" s="1"/>
      <c r="B100" s="17"/>
      <c r="C100" s="18"/>
      <c r="D100" s="18"/>
      <c r="E100" s="19"/>
      <c r="F100" s="20"/>
      <c r="G100" s="21" t="str">
        <f aca="false">IF($AB100="","",Cilësimet!$C$3*(INDEX(Cilësimet!$C$6:$C$10,MATCH($F100,Cilësimet!$A$6:$A$10,0))*N($E100)+INDEX(Cilësimet!$D$6:$D$10,MATCH($F100,Cilësimet!$A$6:$A$10,0))))</f>
        <v/>
      </c>
      <c r="H100" s="22" t="str">
        <f aca="false">IF($Z100=1,$AA100-1,"")</f>
        <v/>
      </c>
      <c r="I100" s="23"/>
      <c r="J100" s="1"/>
      <c r="K100" s="1"/>
      <c r="L100" s="1"/>
      <c r="M100" s="1"/>
      <c r="N100" s="1"/>
      <c r="O100" s="1"/>
      <c r="P100" s="1"/>
      <c r="Q100" s="1"/>
      <c r="R100" s="1"/>
      <c r="S100" s="1"/>
      <c r="Z100" s="24" t="n">
        <f aca="false">IF($AB100="",0,IF(ISNUMBER($B100),IF(AND($B100&gt;=N($B$3),OR(NOT(ISNUMBER($D$3)),$B100&lt;=$D$3)),1,0),1))</f>
        <v>0</v>
      </c>
      <c r="AA100" s="24" t="n">
        <f aca="false">$AA99*(1+IF($Z100=1,N($G100),0))</f>
        <v>1.0035</v>
      </c>
      <c r="AB100" s="0" t="str">
        <f aca="false">IF($F100="","",IFERROR(INDEX(Cilësimet!$B$6:$B$10,MATCH($F100,Cilësimet!$A$6:$A$10,0)),""))</f>
        <v/>
      </c>
    </row>
    <row r="101" customFormat="false" ht="18.75" hidden="false" customHeight="true" outlineLevel="0" collapsed="false">
      <c r="A101" s="1"/>
      <c r="B101" s="17"/>
      <c r="C101" s="18"/>
      <c r="D101" s="18"/>
      <c r="E101" s="19"/>
      <c r="F101" s="20"/>
      <c r="G101" s="21" t="str">
        <f aca="false">IF($AB101="","",Cilësimet!$C$3*(INDEX(Cilësimet!$C$6:$C$10,MATCH($F101,Cilësimet!$A$6:$A$10,0))*N($E101)+INDEX(Cilësimet!$D$6:$D$10,MATCH($F101,Cilësimet!$A$6:$A$10,0))))</f>
        <v/>
      </c>
      <c r="H101" s="22" t="str">
        <f aca="false">IF($Z101=1,$AA101-1,"")</f>
        <v/>
      </c>
      <c r="I101" s="23"/>
      <c r="J101" s="1"/>
      <c r="K101" s="1"/>
      <c r="L101" s="1"/>
      <c r="M101" s="1"/>
      <c r="N101" s="1"/>
      <c r="O101" s="1"/>
      <c r="P101" s="1"/>
      <c r="Q101" s="1"/>
      <c r="R101" s="1"/>
      <c r="S101" s="1"/>
      <c r="Z101" s="24" t="n">
        <f aca="false">IF($AB101="",0,IF(ISNUMBER($B101),IF(AND($B101&gt;=N($B$3),OR(NOT(ISNUMBER($D$3)),$B101&lt;=$D$3)),1,0),1))</f>
        <v>0</v>
      </c>
      <c r="AA101" s="24" t="n">
        <f aca="false">$AA100*(1+IF($Z101=1,N($G101),0))</f>
        <v>1.0035</v>
      </c>
      <c r="AB101" s="0" t="str">
        <f aca="false">IF($F101="","",IFERROR(INDEX(Cilësimet!$B$6:$B$10,MATCH($F101,Cilësimet!$A$6:$A$10,0)),""))</f>
        <v/>
      </c>
    </row>
    <row r="102" customFormat="false" ht="18.75" hidden="false" customHeight="true" outlineLevel="0" collapsed="false">
      <c r="A102" s="1"/>
      <c r="B102" s="17"/>
      <c r="C102" s="18"/>
      <c r="D102" s="18"/>
      <c r="E102" s="19"/>
      <c r="F102" s="20"/>
      <c r="G102" s="21" t="str">
        <f aca="false">IF($AB102="","",Cilësimet!$C$3*(INDEX(Cilësimet!$C$6:$C$10,MATCH($F102,Cilësimet!$A$6:$A$10,0))*N($E102)+INDEX(Cilësimet!$D$6:$D$10,MATCH($F102,Cilësimet!$A$6:$A$10,0))))</f>
        <v/>
      </c>
      <c r="H102" s="22" t="str">
        <f aca="false">IF($Z102=1,$AA102-1,"")</f>
        <v/>
      </c>
      <c r="I102" s="23"/>
      <c r="J102" s="1"/>
      <c r="K102" s="1"/>
      <c r="L102" s="1"/>
      <c r="M102" s="1"/>
      <c r="N102" s="1"/>
      <c r="O102" s="1"/>
      <c r="P102" s="1"/>
      <c r="Q102" s="1"/>
      <c r="R102" s="1"/>
      <c r="S102" s="1"/>
      <c r="Z102" s="24" t="n">
        <f aca="false">IF($AB102="",0,IF(ISNUMBER($B102),IF(AND($B102&gt;=N($B$3),OR(NOT(ISNUMBER($D$3)),$B102&lt;=$D$3)),1,0),1))</f>
        <v>0</v>
      </c>
      <c r="AA102" s="24" t="n">
        <f aca="false">$AA101*(1+IF($Z102=1,N($G102),0))</f>
        <v>1.0035</v>
      </c>
      <c r="AB102" s="0" t="str">
        <f aca="false">IF($F102="","",IFERROR(INDEX(Cilësimet!$B$6:$B$10,MATCH($F102,Cilësimet!$A$6:$A$10,0)),""))</f>
        <v/>
      </c>
    </row>
    <row r="103" customFormat="false" ht="18.75" hidden="false" customHeight="true" outlineLevel="0" collapsed="false">
      <c r="A103" s="1"/>
      <c r="B103" s="17"/>
      <c r="C103" s="18"/>
      <c r="D103" s="18"/>
      <c r="E103" s="19"/>
      <c r="F103" s="20"/>
      <c r="G103" s="21" t="str">
        <f aca="false">IF($AB103="","",Cilësimet!$C$3*(INDEX(Cilësimet!$C$6:$C$10,MATCH($F103,Cilësimet!$A$6:$A$10,0))*N($E103)+INDEX(Cilësimet!$D$6:$D$10,MATCH($F103,Cilësimet!$A$6:$A$10,0))))</f>
        <v/>
      </c>
      <c r="H103" s="22" t="str">
        <f aca="false">IF($Z103=1,$AA103-1,"")</f>
        <v/>
      </c>
      <c r="I103" s="23"/>
      <c r="J103" s="1"/>
      <c r="K103" s="1"/>
      <c r="L103" s="1"/>
      <c r="M103" s="1"/>
      <c r="N103" s="1"/>
      <c r="O103" s="1"/>
      <c r="P103" s="1"/>
      <c r="Q103" s="1"/>
      <c r="R103" s="1"/>
      <c r="S103" s="1"/>
      <c r="Z103" s="24" t="n">
        <f aca="false">IF($AB103="",0,IF(ISNUMBER($B103),IF(AND($B103&gt;=N($B$3),OR(NOT(ISNUMBER($D$3)),$B103&lt;=$D$3)),1,0),1))</f>
        <v>0</v>
      </c>
      <c r="AA103" s="24" t="n">
        <f aca="false">$AA102*(1+IF($Z103=1,N($G103),0))</f>
        <v>1.0035</v>
      </c>
      <c r="AB103" s="0" t="str">
        <f aca="false">IF($F103="","",IFERROR(INDEX(Cilësimet!$B$6:$B$10,MATCH($F103,Cilësimet!$A$6:$A$10,0)),""))</f>
        <v/>
      </c>
    </row>
    <row r="104" customFormat="false" ht="18.75" hidden="false" customHeight="true" outlineLevel="0" collapsed="false">
      <c r="A104" s="1"/>
      <c r="B104" s="17"/>
      <c r="C104" s="18"/>
      <c r="D104" s="18"/>
      <c r="E104" s="19"/>
      <c r="F104" s="20"/>
      <c r="G104" s="21" t="str">
        <f aca="false">IF($AB104="","",Cilësimet!$C$3*(INDEX(Cilësimet!$C$6:$C$10,MATCH($F104,Cilësimet!$A$6:$A$10,0))*N($E104)+INDEX(Cilësimet!$D$6:$D$10,MATCH($F104,Cilësimet!$A$6:$A$10,0))))</f>
        <v/>
      </c>
      <c r="H104" s="22" t="str">
        <f aca="false">IF($Z104=1,$AA104-1,"")</f>
        <v/>
      </c>
      <c r="I104" s="23"/>
      <c r="J104" s="1"/>
      <c r="K104" s="1"/>
      <c r="L104" s="1"/>
      <c r="M104" s="1"/>
      <c r="N104" s="1"/>
      <c r="O104" s="1"/>
      <c r="P104" s="1"/>
      <c r="Q104" s="1"/>
      <c r="R104" s="1"/>
      <c r="S104" s="1"/>
      <c r="Z104" s="24" t="n">
        <f aca="false">IF($AB104="",0,IF(ISNUMBER($B104),IF(AND($B104&gt;=N($B$3),OR(NOT(ISNUMBER($D$3)),$B104&lt;=$D$3)),1,0),1))</f>
        <v>0</v>
      </c>
      <c r="AA104" s="24" t="n">
        <f aca="false">$AA103*(1+IF($Z104=1,N($G104),0))</f>
        <v>1.0035</v>
      </c>
      <c r="AB104" s="0" t="str">
        <f aca="false">IF($F104="","",IFERROR(INDEX(Cilësimet!$B$6:$B$10,MATCH($F104,Cilësimet!$A$6:$A$10,0)),""))</f>
        <v/>
      </c>
    </row>
    <row r="105" customFormat="false" ht="18.75" hidden="false" customHeight="true" outlineLevel="0" collapsed="false">
      <c r="A105" s="1"/>
      <c r="B105" s="17"/>
      <c r="C105" s="18"/>
      <c r="D105" s="18"/>
      <c r="E105" s="19"/>
      <c r="F105" s="20"/>
      <c r="G105" s="21" t="str">
        <f aca="false">IF($AB105="","",Cilësimet!$C$3*(INDEX(Cilësimet!$C$6:$C$10,MATCH($F105,Cilësimet!$A$6:$A$10,0))*N($E105)+INDEX(Cilësimet!$D$6:$D$10,MATCH($F105,Cilësimet!$A$6:$A$10,0))))</f>
        <v/>
      </c>
      <c r="H105" s="22" t="str">
        <f aca="false">IF($Z105=1,$AA105-1,"")</f>
        <v/>
      </c>
      <c r="I105" s="23"/>
      <c r="J105" s="1"/>
      <c r="K105" s="1"/>
      <c r="L105" s="1"/>
      <c r="M105" s="1"/>
      <c r="N105" s="1"/>
      <c r="O105" s="1"/>
      <c r="P105" s="1"/>
      <c r="Q105" s="1"/>
      <c r="R105" s="1"/>
      <c r="S105" s="1"/>
      <c r="Z105" s="24" t="n">
        <f aca="false">IF($AB105="",0,IF(ISNUMBER($B105),IF(AND($B105&gt;=N($B$3),OR(NOT(ISNUMBER($D$3)),$B105&lt;=$D$3)),1,0),1))</f>
        <v>0</v>
      </c>
      <c r="AA105" s="24" t="n">
        <f aca="false">$AA104*(1+IF($Z105=1,N($G105),0))</f>
        <v>1.0035</v>
      </c>
      <c r="AB105" s="0" t="str">
        <f aca="false">IF($F105="","",IFERROR(INDEX(Cilësimet!$B$6:$B$10,MATCH($F105,Cilësimet!$A$6:$A$10,0)),""))</f>
        <v/>
      </c>
    </row>
    <row r="106" customFormat="false" ht="18.75" hidden="false" customHeight="true" outlineLevel="0" collapsed="false">
      <c r="A106" s="1"/>
      <c r="B106" s="17"/>
      <c r="C106" s="18"/>
      <c r="D106" s="18"/>
      <c r="E106" s="19"/>
      <c r="F106" s="20"/>
      <c r="G106" s="21" t="str">
        <f aca="false">IF($AB106="","",Cilësimet!$C$3*(INDEX(Cilësimet!$C$6:$C$10,MATCH($F106,Cilësimet!$A$6:$A$10,0))*N($E106)+INDEX(Cilësimet!$D$6:$D$10,MATCH($F106,Cilësimet!$A$6:$A$10,0))))</f>
        <v/>
      </c>
      <c r="H106" s="22" t="str">
        <f aca="false">IF($Z106=1,$AA106-1,"")</f>
        <v/>
      </c>
      <c r="I106" s="23"/>
      <c r="J106" s="1"/>
      <c r="K106" s="1"/>
      <c r="L106" s="1"/>
      <c r="M106" s="1"/>
      <c r="N106" s="1"/>
      <c r="O106" s="1"/>
      <c r="P106" s="1"/>
      <c r="Q106" s="1"/>
      <c r="R106" s="1"/>
      <c r="S106" s="1"/>
      <c r="Z106" s="24" t="n">
        <f aca="false">IF($AB106="",0,IF(ISNUMBER($B106),IF(AND($B106&gt;=N($B$3),OR(NOT(ISNUMBER($D$3)),$B106&lt;=$D$3)),1,0),1))</f>
        <v>0</v>
      </c>
      <c r="AA106" s="24" t="n">
        <f aca="false">$AA105*(1+IF($Z106=1,N($G106),0))</f>
        <v>1.0035</v>
      </c>
      <c r="AB106" s="0" t="str">
        <f aca="false">IF($F106="","",IFERROR(INDEX(Cilësimet!$B$6:$B$10,MATCH($F106,Cilësimet!$A$6:$A$10,0)),""))</f>
        <v/>
      </c>
    </row>
    <row r="107" customFormat="false" ht="18.75" hidden="false" customHeight="true" outlineLevel="0" collapsed="false">
      <c r="A107" s="1"/>
      <c r="B107" s="17"/>
      <c r="C107" s="18"/>
      <c r="D107" s="18"/>
      <c r="E107" s="19"/>
      <c r="F107" s="20"/>
      <c r="G107" s="21" t="str">
        <f aca="false">IF($AB107="","",Cilësimet!$C$3*(INDEX(Cilësimet!$C$6:$C$10,MATCH($F107,Cilësimet!$A$6:$A$10,0))*N($E107)+INDEX(Cilësimet!$D$6:$D$10,MATCH($F107,Cilësimet!$A$6:$A$10,0))))</f>
        <v/>
      </c>
      <c r="H107" s="22" t="str">
        <f aca="false">IF($Z107=1,$AA107-1,"")</f>
        <v/>
      </c>
      <c r="I107" s="23"/>
      <c r="J107" s="1"/>
      <c r="K107" s="1"/>
      <c r="L107" s="1"/>
      <c r="M107" s="1"/>
      <c r="N107" s="1"/>
      <c r="O107" s="1"/>
      <c r="P107" s="1"/>
      <c r="Q107" s="1"/>
      <c r="R107" s="1"/>
      <c r="S107" s="1"/>
      <c r="Z107" s="24" t="n">
        <f aca="false">IF($AB107="",0,IF(ISNUMBER($B107),IF(AND($B107&gt;=N($B$3),OR(NOT(ISNUMBER($D$3)),$B107&lt;=$D$3)),1,0),1))</f>
        <v>0</v>
      </c>
      <c r="AA107" s="24" t="n">
        <f aca="false">$AA106*(1+IF($Z107=1,N($G107),0))</f>
        <v>1.0035</v>
      </c>
      <c r="AB107" s="0" t="str">
        <f aca="false">IF($F107="","",IFERROR(INDEX(Cilësimet!$B$6:$B$10,MATCH($F107,Cilësimet!$A$6:$A$10,0)),""))</f>
        <v/>
      </c>
    </row>
    <row r="108" customFormat="false" ht="18.75" hidden="false" customHeight="true" outlineLevel="0" collapsed="false">
      <c r="A108" s="1"/>
      <c r="B108" s="17"/>
      <c r="C108" s="18"/>
      <c r="D108" s="18"/>
      <c r="E108" s="19"/>
      <c r="F108" s="20"/>
      <c r="G108" s="21" t="str">
        <f aca="false">IF($AB108="","",Cilësimet!$C$3*(INDEX(Cilësimet!$C$6:$C$10,MATCH($F108,Cilësimet!$A$6:$A$10,0))*N($E108)+INDEX(Cilësimet!$D$6:$D$10,MATCH($F108,Cilësimet!$A$6:$A$10,0))))</f>
        <v/>
      </c>
      <c r="H108" s="22" t="str">
        <f aca="false">IF($Z108=1,$AA108-1,"")</f>
        <v/>
      </c>
      <c r="I108" s="23"/>
      <c r="J108" s="1"/>
      <c r="K108" s="1"/>
      <c r="L108" s="1"/>
      <c r="M108" s="1"/>
      <c r="N108" s="1"/>
      <c r="O108" s="1"/>
      <c r="P108" s="1"/>
      <c r="Q108" s="1"/>
      <c r="R108" s="1"/>
      <c r="S108" s="1"/>
      <c r="Z108" s="24" t="n">
        <f aca="false">IF($AB108="",0,IF(ISNUMBER($B108),IF(AND($B108&gt;=N($B$3),OR(NOT(ISNUMBER($D$3)),$B108&lt;=$D$3)),1,0),1))</f>
        <v>0</v>
      </c>
      <c r="AA108" s="24" t="n">
        <f aca="false">$AA107*(1+IF($Z108=1,N($G108),0))</f>
        <v>1.0035</v>
      </c>
      <c r="AB108" s="0" t="str">
        <f aca="false">IF($F108="","",IFERROR(INDEX(Cilësimet!$B$6:$B$10,MATCH($F108,Cilësimet!$A$6:$A$10,0)),""))</f>
        <v/>
      </c>
    </row>
    <row r="109" customFormat="false" ht="18.75" hidden="false" customHeight="true" outlineLevel="0" collapsed="false">
      <c r="A109" s="1"/>
      <c r="B109" s="17"/>
      <c r="C109" s="18"/>
      <c r="D109" s="18"/>
      <c r="E109" s="19"/>
      <c r="F109" s="20"/>
      <c r="G109" s="21" t="str">
        <f aca="false">IF($AB109="","",Cilësimet!$C$3*(INDEX(Cilësimet!$C$6:$C$10,MATCH($F109,Cilësimet!$A$6:$A$10,0))*N($E109)+INDEX(Cilësimet!$D$6:$D$10,MATCH($F109,Cilësimet!$A$6:$A$10,0))))</f>
        <v/>
      </c>
      <c r="H109" s="22" t="str">
        <f aca="false">IF($Z109=1,$AA109-1,"")</f>
        <v/>
      </c>
      <c r="I109" s="23"/>
      <c r="J109" s="1"/>
      <c r="K109" s="1"/>
      <c r="L109" s="1"/>
      <c r="M109" s="1"/>
      <c r="N109" s="1"/>
      <c r="O109" s="1"/>
      <c r="P109" s="1"/>
      <c r="Q109" s="1"/>
      <c r="R109" s="1"/>
      <c r="S109" s="1"/>
      <c r="Z109" s="24" t="n">
        <f aca="false">IF($AB109="",0,IF(ISNUMBER($B109),IF(AND($B109&gt;=N($B$3),OR(NOT(ISNUMBER($D$3)),$B109&lt;=$D$3)),1,0),1))</f>
        <v>0</v>
      </c>
      <c r="AA109" s="24" t="n">
        <f aca="false">$AA108*(1+IF($Z109=1,N($G109),0))</f>
        <v>1.0035</v>
      </c>
      <c r="AB109" s="0" t="str">
        <f aca="false">IF($F109="","",IFERROR(INDEX(Cilësimet!$B$6:$B$10,MATCH($F109,Cilësimet!$A$6:$A$10,0)),""))</f>
        <v/>
      </c>
    </row>
    <row r="110" customFormat="false" ht="18.75" hidden="false" customHeight="true" outlineLevel="0" collapsed="false">
      <c r="A110" s="1"/>
      <c r="B110" s="17"/>
      <c r="C110" s="18"/>
      <c r="D110" s="18"/>
      <c r="E110" s="19"/>
      <c r="F110" s="20"/>
      <c r="G110" s="21" t="str">
        <f aca="false">IF($AB110="","",Cilësimet!$C$3*(INDEX(Cilësimet!$C$6:$C$10,MATCH($F110,Cilësimet!$A$6:$A$10,0))*N($E110)+INDEX(Cilësimet!$D$6:$D$10,MATCH($F110,Cilësimet!$A$6:$A$10,0))))</f>
        <v/>
      </c>
      <c r="H110" s="22" t="str">
        <f aca="false">IF($Z110=1,$AA110-1,"")</f>
        <v/>
      </c>
      <c r="I110" s="23"/>
      <c r="J110" s="1"/>
      <c r="K110" s="1"/>
      <c r="L110" s="1"/>
      <c r="M110" s="1"/>
      <c r="N110" s="1"/>
      <c r="O110" s="1"/>
      <c r="P110" s="1"/>
      <c r="Q110" s="1"/>
      <c r="R110" s="1"/>
      <c r="S110" s="1"/>
      <c r="Z110" s="24" t="n">
        <f aca="false">IF($AB110="",0,IF(ISNUMBER($B110),IF(AND($B110&gt;=N($B$3),OR(NOT(ISNUMBER($D$3)),$B110&lt;=$D$3)),1,0),1))</f>
        <v>0</v>
      </c>
      <c r="AA110" s="24" t="n">
        <f aca="false">$AA109*(1+IF($Z110=1,N($G110),0))</f>
        <v>1.0035</v>
      </c>
      <c r="AB110" s="0" t="str">
        <f aca="false">IF($F110="","",IFERROR(INDEX(Cilësimet!$B$6:$B$10,MATCH($F110,Cilësimet!$A$6:$A$10,0)),""))</f>
        <v/>
      </c>
    </row>
    <row r="111" customFormat="false" ht="18.75" hidden="false" customHeight="true" outlineLevel="0" collapsed="false">
      <c r="A111" s="1"/>
      <c r="B111" s="17"/>
      <c r="C111" s="18"/>
      <c r="D111" s="18"/>
      <c r="E111" s="19"/>
      <c r="F111" s="20"/>
      <c r="G111" s="21" t="str">
        <f aca="false">IF($AB111="","",Cilësimet!$C$3*(INDEX(Cilësimet!$C$6:$C$10,MATCH($F111,Cilësimet!$A$6:$A$10,0))*N($E111)+INDEX(Cilësimet!$D$6:$D$10,MATCH($F111,Cilësimet!$A$6:$A$10,0))))</f>
        <v/>
      </c>
      <c r="H111" s="22" t="str">
        <f aca="false">IF($Z111=1,$AA111-1,"")</f>
        <v/>
      </c>
      <c r="I111" s="23"/>
      <c r="J111" s="1"/>
      <c r="K111" s="1"/>
      <c r="L111" s="1"/>
      <c r="M111" s="1"/>
      <c r="N111" s="1"/>
      <c r="O111" s="1"/>
      <c r="P111" s="1"/>
      <c r="Q111" s="1"/>
      <c r="R111" s="1"/>
      <c r="S111" s="1"/>
      <c r="Z111" s="24" t="n">
        <f aca="false">IF($AB111="",0,IF(ISNUMBER($B111),IF(AND($B111&gt;=N($B$3),OR(NOT(ISNUMBER($D$3)),$B111&lt;=$D$3)),1,0),1))</f>
        <v>0</v>
      </c>
      <c r="AA111" s="24" t="n">
        <f aca="false">$AA110*(1+IF($Z111=1,N($G111),0))</f>
        <v>1.0035</v>
      </c>
      <c r="AB111" s="0" t="str">
        <f aca="false">IF($F111="","",IFERROR(INDEX(Cilësimet!$B$6:$B$10,MATCH($F111,Cilësimet!$A$6:$A$10,0)),""))</f>
        <v/>
      </c>
    </row>
    <row r="112" customFormat="false" ht="18.75" hidden="false" customHeight="true" outlineLevel="0" collapsed="false">
      <c r="A112" s="1"/>
      <c r="B112" s="17"/>
      <c r="C112" s="18"/>
      <c r="D112" s="18"/>
      <c r="E112" s="19"/>
      <c r="F112" s="20"/>
      <c r="G112" s="21" t="str">
        <f aca="false">IF($AB112="","",Cilësimet!$C$3*(INDEX(Cilësimet!$C$6:$C$10,MATCH($F112,Cilësimet!$A$6:$A$10,0))*N($E112)+INDEX(Cilësimet!$D$6:$D$10,MATCH($F112,Cilësimet!$A$6:$A$10,0))))</f>
        <v/>
      </c>
      <c r="H112" s="22" t="str">
        <f aca="false">IF($Z112=1,$AA112-1,"")</f>
        <v/>
      </c>
      <c r="I112" s="23"/>
      <c r="J112" s="1"/>
      <c r="K112" s="1"/>
      <c r="L112" s="1"/>
      <c r="M112" s="1"/>
      <c r="N112" s="1"/>
      <c r="O112" s="1"/>
      <c r="P112" s="1"/>
      <c r="Q112" s="1"/>
      <c r="R112" s="1"/>
      <c r="S112" s="1"/>
      <c r="Z112" s="24" t="n">
        <f aca="false">IF($AB112="",0,IF(ISNUMBER($B112),IF(AND($B112&gt;=N($B$3),OR(NOT(ISNUMBER($D$3)),$B112&lt;=$D$3)),1,0),1))</f>
        <v>0</v>
      </c>
      <c r="AA112" s="24" t="n">
        <f aca="false">$AA111*(1+IF($Z112=1,N($G112),0))</f>
        <v>1.0035</v>
      </c>
      <c r="AB112" s="0" t="str">
        <f aca="false">IF($F112="","",IFERROR(INDEX(Cilësimet!$B$6:$B$10,MATCH($F112,Cilësimet!$A$6:$A$10,0)),""))</f>
        <v/>
      </c>
    </row>
    <row r="113" customFormat="false" ht="18.75" hidden="false" customHeight="true" outlineLevel="0" collapsed="false">
      <c r="A113" s="1"/>
      <c r="B113" s="17"/>
      <c r="C113" s="18"/>
      <c r="D113" s="18"/>
      <c r="E113" s="19"/>
      <c r="F113" s="20"/>
      <c r="G113" s="21" t="str">
        <f aca="false">IF($AB113="","",Cilësimet!$C$3*(INDEX(Cilësimet!$C$6:$C$10,MATCH($F113,Cilësimet!$A$6:$A$10,0))*N($E113)+INDEX(Cilësimet!$D$6:$D$10,MATCH($F113,Cilësimet!$A$6:$A$10,0))))</f>
        <v/>
      </c>
      <c r="H113" s="22" t="str">
        <f aca="false">IF($Z113=1,$AA113-1,"")</f>
        <v/>
      </c>
      <c r="I113" s="23"/>
      <c r="J113" s="1"/>
      <c r="K113" s="1"/>
      <c r="L113" s="1"/>
      <c r="M113" s="1"/>
      <c r="N113" s="1"/>
      <c r="O113" s="1"/>
      <c r="P113" s="1"/>
      <c r="Q113" s="1"/>
      <c r="R113" s="1"/>
      <c r="S113" s="1"/>
      <c r="Z113" s="24" t="n">
        <f aca="false">IF($AB113="",0,IF(ISNUMBER($B113),IF(AND($B113&gt;=N($B$3),OR(NOT(ISNUMBER($D$3)),$B113&lt;=$D$3)),1,0),1))</f>
        <v>0</v>
      </c>
      <c r="AA113" s="24" t="n">
        <f aca="false">$AA112*(1+IF($Z113=1,N($G113),0))</f>
        <v>1.0035</v>
      </c>
      <c r="AB113" s="0" t="str">
        <f aca="false">IF($F113="","",IFERROR(INDEX(Cilësimet!$B$6:$B$10,MATCH($F113,Cilësimet!$A$6:$A$10,0)),""))</f>
        <v/>
      </c>
    </row>
    <row r="114" customFormat="false" ht="18.75" hidden="false" customHeight="true" outlineLevel="0" collapsed="false">
      <c r="A114" s="1"/>
      <c r="B114" s="17"/>
      <c r="C114" s="18"/>
      <c r="D114" s="18"/>
      <c r="E114" s="19"/>
      <c r="F114" s="20"/>
      <c r="G114" s="21" t="str">
        <f aca="false">IF($AB114="","",Cilësimet!$C$3*(INDEX(Cilësimet!$C$6:$C$10,MATCH($F114,Cilësimet!$A$6:$A$10,0))*N($E114)+INDEX(Cilësimet!$D$6:$D$10,MATCH($F114,Cilësimet!$A$6:$A$10,0))))</f>
        <v/>
      </c>
      <c r="H114" s="22" t="str">
        <f aca="false">IF($Z114=1,$AA114-1,"")</f>
        <v/>
      </c>
      <c r="I114" s="23"/>
      <c r="J114" s="1"/>
      <c r="K114" s="1"/>
      <c r="L114" s="1"/>
      <c r="M114" s="1"/>
      <c r="N114" s="1"/>
      <c r="O114" s="1"/>
      <c r="P114" s="1"/>
      <c r="Q114" s="1"/>
      <c r="R114" s="1"/>
      <c r="S114" s="1"/>
      <c r="Z114" s="24" t="n">
        <f aca="false">IF($AB114="",0,IF(ISNUMBER($B114),IF(AND($B114&gt;=N($B$3),OR(NOT(ISNUMBER($D$3)),$B114&lt;=$D$3)),1,0),1))</f>
        <v>0</v>
      </c>
      <c r="AA114" s="24" t="n">
        <f aca="false">$AA113*(1+IF($Z114=1,N($G114),0))</f>
        <v>1.0035</v>
      </c>
      <c r="AB114" s="0" t="str">
        <f aca="false">IF($F114="","",IFERROR(INDEX(Cilësimet!$B$6:$B$10,MATCH($F114,Cilësimet!$A$6:$A$10,0)),""))</f>
        <v/>
      </c>
    </row>
    <row r="115" customFormat="false" ht="18.75" hidden="false" customHeight="true" outlineLevel="0" collapsed="false">
      <c r="A115" s="1"/>
      <c r="B115" s="17"/>
      <c r="C115" s="18"/>
      <c r="D115" s="18"/>
      <c r="E115" s="19"/>
      <c r="F115" s="20"/>
      <c r="G115" s="21" t="str">
        <f aca="false">IF($AB115="","",Cilësimet!$C$3*(INDEX(Cilësimet!$C$6:$C$10,MATCH($F115,Cilësimet!$A$6:$A$10,0))*N($E115)+INDEX(Cilësimet!$D$6:$D$10,MATCH($F115,Cilësimet!$A$6:$A$10,0))))</f>
        <v/>
      </c>
      <c r="H115" s="22" t="str">
        <f aca="false">IF($Z115=1,$AA115-1,"")</f>
        <v/>
      </c>
      <c r="I115" s="23"/>
      <c r="J115" s="1"/>
      <c r="K115" s="1"/>
      <c r="L115" s="1"/>
      <c r="M115" s="1"/>
      <c r="N115" s="1"/>
      <c r="O115" s="1"/>
      <c r="P115" s="1"/>
      <c r="Q115" s="1"/>
      <c r="R115" s="1"/>
      <c r="S115" s="1"/>
      <c r="Z115" s="24" t="n">
        <f aca="false">IF($AB115="",0,IF(ISNUMBER($B115),IF(AND($B115&gt;=N($B$3),OR(NOT(ISNUMBER($D$3)),$B115&lt;=$D$3)),1,0),1))</f>
        <v>0</v>
      </c>
      <c r="AA115" s="24" t="n">
        <f aca="false">$AA114*(1+IF($Z115=1,N($G115),0))</f>
        <v>1.0035</v>
      </c>
      <c r="AB115" s="0" t="str">
        <f aca="false">IF($F115="","",IFERROR(INDEX(Cilësimet!$B$6:$B$10,MATCH($F115,Cilësimet!$A$6:$A$10,0)),""))</f>
        <v/>
      </c>
    </row>
    <row r="116" customFormat="false" ht="18.75" hidden="false" customHeight="true" outlineLevel="0" collapsed="false">
      <c r="A116" s="1"/>
      <c r="B116" s="17"/>
      <c r="C116" s="18"/>
      <c r="D116" s="18"/>
      <c r="E116" s="19"/>
      <c r="F116" s="20"/>
      <c r="G116" s="21" t="str">
        <f aca="false">IF($AB116="","",Cilësimet!$C$3*(INDEX(Cilësimet!$C$6:$C$10,MATCH($F116,Cilësimet!$A$6:$A$10,0))*N($E116)+INDEX(Cilësimet!$D$6:$D$10,MATCH($F116,Cilësimet!$A$6:$A$10,0))))</f>
        <v/>
      </c>
      <c r="H116" s="22" t="str">
        <f aca="false">IF($Z116=1,$AA116-1,"")</f>
        <v/>
      </c>
      <c r="I116" s="23"/>
      <c r="J116" s="1"/>
      <c r="K116" s="1"/>
      <c r="L116" s="1"/>
      <c r="M116" s="1"/>
      <c r="N116" s="1"/>
      <c r="O116" s="1"/>
      <c r="P116" s="1"/>
      <c r="Q116" s="1"/>
      <c r="R116" s="1"/>
      <c r="S116" s="1"/>
      <c r="Z116" s="24" t="n">
        <f aca="false">IF($AB116="",0,IF(ISNUMBER($B116),IF(AND($B116&gt;=N($B$3),OR(NOT(ISNUMBER($D$3)),$B116&lt;=$D$3)),1,0),1))</f>
        <v>0</v>
      </c>
      <c r="AA116" s="24" t="n">
        <f aca="false">$AA115*(1+IF($Z116=1,N($G116),0))</f>
        <v>1.0035</v>
      </c>
      <c r="AB116" s="0" t="str">
        <f aca="false">IF($F116="","",IFERROR(INDEX(Cilësimet!$B$6:$B$10,MATCH($F116,Cilësimet!$A$6:$A$10,0)),""))</f>
        <v/>
      </c>
    </row>
    <row r="117" customFormat="false" ht="18.75" hidden="false" customHeight="true" outlineLevel="0" collapsed="false">
      <c r="A117" s="1"/>
      <c r="B117" s="17"/>
      <c r="C117" s="18"/>
      <c r="D117" s="18"/>
      <c r="E117" s="19"/>
      <c r="F117" s="20"/>
      <c r="G117" s="21" t="str">
        <f aca="false">IF($AB117="","",Cilësimet!$C$3*(INDEX(Cilësimet!$C$6:$C$10,MATCH($F117,Cilësimet!$A$6:$A$10,0))*N($E117)+INDEX(Cilësimet!$D$6:$D$10,MATCH($F117,Cilësimet!$A$6:$A$10,0))))</f>
        <v/>
      </c>
      <c r="H117" s="22" t="str">
        <f aca="false">IF($Z117=1,$AA117-1,"")</f>
        <v/>
      </c>
      <c r="I117" s="23"/>
      <c r="J117" s="1"/>
      <c r="K117" s="1"/>
      <c r="L117" s="1"/>
      <c r="M117" s="1"/>
      <c r="N117" s="1"/>
      <c r="O117" s="1"/>
      <c r="P117" s="1"/>
      <c r="Q117" s="1"/>
      <c r="R117" s="1"/>
      <c r="S117" s="1"/>
      <c r="Z117" s="24" t="n">
        <f aca="false">IF($AB117="",0,IF(ISNUMBER($B117),IF(AND($B117&gt;=N($B$3),OR(NOT(ISNUMBER($D$3)),$B117&lt;=$D$3)),1,0),1))</f>
        <v>0</v>
      </c>
      <c r="AA117" s="24" t="n">
        <f aca="false">$AA116*(1+IF($Z117=1,N($G117),0))</f>
        <v>1.0035</v>
      </c>
      <c r="AB117" s="0" t="str">
        <f aca="false">IF($F117="","",IFERROR(INDEX(Cilësimet!$B$6:$B$10,MATCH($F117,Cilësimet!$A$6:$A$10,0)),""))</f>
        <v/>
      </c>
    </row>
    <row r="118" customFormat="false" ht="18.75" hidden="false" customHeight="true" outlineLevel="0" collapsed="false">
      <c r="A118" s="1"/>
      <c r="B118" s="17"/>
      <c r="C118" s="18"/>
      <c r="D118" s="18"/>
      <c r="E118" s="19"/>
      <c r="F118" s="20"/>
      <c r="G118" s="21" t="str">
        <f aca="false">IF($AB118="","",Cilësimet!$C$3*(INDEX(Cilësimet!$C$6:$C$10,MATCH($F118,Cilësimet!$A$6:$A$10,0))*N($E118)+INDEX(Cilësimet!$D$6:$D$10,MATCH($F118,Cilësimet!$A$6:$A$10,0))))</f>
        <v/>
      </c>
      <c r="H118" s="22" t="str">
        <f aca="false">IF($Z118=1,$AA118-1,"")</f>
        <v/>
      </c>
      <c r="I118" s="23"/>
      <c r="J118" s="1"/>
      <c r="K118" s="1"/>
      <c r="L118" s="1"/>
      <c r="M118" s="1"/>
      <c r="N118" s="1"/>
      <c r="O118" s="1"/>
      <c r="P118" s="1"/>
      <c r="Q118" s="1"/>
      <c r="R118" s="1"/>
      <c r="S118" s="1"/>
      <c r="Z118" s="24" t="n">
        <f aca="false">IF($AB118="",0,IF(ISNUMBER($B118),IF(AND($B118&gt;=N($B$3),OR(NOT(ISNUMBER($D$3)),$B118&lt;=$D$3)),1,0),1))</f>
        <v>0</v>
      </c>
      <c r="AA118" s="24" t="n">
        <f aca="false">$AA117*(1+IF($Z118=1,N($G118),0))</f>
        <v>1.0035</v>
      </c>
      <c r="AB118" s="0" t="str">
        <f aca="false">IF($F118="","",IFERROR(INDEX(Cilësimet!$B$6:$B$10,MATCH($F118,Cilësimet!$A$6:$A$10,0)),""))</f>
        <v/>
      </c>
    </row>
    <row r="119" customFormat="false" ht="18.75" hidden="false" customHeight="true" outlineLevel="0" collapsed="false">
      <c r="A119" s="1"/>
      <c r="B119" s="17"/>
      <c r="C119" s="18"/>
      <c r="D119" s="18"/>
      <c r="E119" s="19"/>
      <c r="F119" s="20"/>
      <c r="G119" s="21" t="str">
        <f aca="false">IF($AB119="","",Cilësimet!$C$3*(INDEX(Cilësimet!$C$6:$C$10,MATCH($F119,Cilësimet!$A$6:$A$10,0))*N($E119)+INDEX(Cilësimet!$D$6:$D$10,MATCH($F119,Cilësimet!$A$6:$A$10,0))))</f>
        <v/>
      </c>
      <c r="H119" s="22" t="str">
        <f aca="false">IF($Z119=1,$AA119-1,"")</f>
        <v/>
      </c>
      <c r="I119" s="23"/>
      <c r="J119" s="1"/>
      <c r="K119" s="1"/>
      <c r="L119" s="1"/>
      <c r="M119" s="1"/>
      <c r="N119" s="1"/>
      <c r="O119" s="1"/>
      <c r="P119" s="1"/>
      <c r="Q119" s="1"/>
      <c r="R119" s="1"/>
      <c r="S119" s="1"/>
      <c r="Z119" s="24" t="n">
        <f aca="false">IF($AB119="",0,IF(ISNUMBER($B119),IF(AND($B119&gt;=N($B$3),OR(NOT(ISNUMBER($D$3)),$B119&lt;=$D$3)),1,0),1))</f>
        <v>0</v>
      </c>
      <c r="AA119" s="24" t="n">
        <f aca="false">$AA118*(1+IF($Z119=1,N($G119),0))</f>
        <v>1.0035</v>
      </c>
      <c r="AB119" s="0" t="str">
        <f aca="false">IF($F119="","",IFERROR(INDEX(Cilësimet!$B$6:$B$10,MATCH($F119,Cilësimet!$A$6:$A$10,0)),""))</f>
        <v/>
      </c>
    </row>
    <row r="120" customFormat="false" ht="18.75" hidden="false" customHeight="true" outlineLevel="0" collapsed="false">
      <c r="A120" s="1"/>
      <c r="B120" s="17"/>
      <c r="C120" s="18"/>
      <c r="D120" s="18"/>
      <c r="E120" s="19"/>
      <c r="F120" s="20"/>
      <c r="G120" s="21" t="str">
        <f aca="false">IF($AB120="","",Cilësimet!$C$3*(INDEX(Cilësimet!$C$6:$C$10,MATCH($F120,Cilësimet!$A$6:$A$10,0))*N($E120)+INDEX(Cilësimet!$D$6:$D$10,MATCH($F120,Cilësimet!$A$6:$A$10,0))))</f>
        <v/>
      </c>
      <c r="H120" s="22" t="str">
        <f aca="false">IF($Z120=1,$AA120-1,"")</f>
        <v/>
      </c>
      <c r="I120" s="23"/>
      <c r="J120" s="1"/>
      <c r="K120" s="1"/>
      <c r="L120" s="1"/>
      <c r="M120" s="1"/>
      <c r="N120" s="1"/>
      <c r="O120" s="1"/>
      <c r="P120" s="1"/>
      <c r="Q120" s="1"/>
      <c r="R120" s="1"/>
      <c r="S120" s="1"/>
      <c r="Z120" s="24" t="n">
        <f aca="false">IF($AB120="",0,IF(ISNUMBER($B120),IF(AND($B120&gt;=N($B$3),OR(NOT(ISNUMBER($D$3)),$B120&lt;=$D$3)),1,0),1))</f>
        <v>0</v>
      </c>
      <c r="AA120" s="24" t="n">
        <f aca="false">$AA119*(1+IF($Z120=1,N($G120),0))</f>
        <v>1.0035</v>
      </c>
      <c r="AB120" s="0" t="str">
        <f aca="false">IF($F120="","",IFERROR(INDEX(Cilësimet!$B$6:$B$10,MATCH($F120,Cilësimet!$A$6:$A$10,0)),""))</f>
        <v/>
      </c>
    </row>
    <row r="121" customFormat="false" ht="18.75" hidden="false" customHeight="true" outlineLevel="0" collapsed="false">
      <c r="A121" s="1"/>
      <c r="B121" s="17"/>
      <c r="C121" s="18"/>
      <c r="D121" s="18"/>
      <c r="E121" s="19"/>
      <c r="F121" s="20"/>
      <c r="G121" s="21" t="str">
        <f aca="false">IF($AB121="","",Cilësimet!$C$3*(INDEX(Cilësimet!$C$6:$C$10,MATCH($F121,Cilësimet!$A$6:$A$10,0))*N($E121)+INDEX(Cilësimet!$D$6:$D$10,MATCH($F121,Cilësimet!$A$6:$A$10,0))))</f>
        <v/>
      </c>
      <c r="H121" s="22" t="str">
        <f aca="false">IF($Z121=1,$AA121-1,"")</f>
        <v/>
      </c>
      <c r="I121" s="23"/>
      <c r="J121" s="1"/>
      <c r="K121" s="1"/>
      <c r="L121" s="1"/>
      <c r="M121" s="1"/>
      <c r="N121" s="1"/>
      <c r="O121" s="1"/>
      <c r="P121" s="1"/>
      <c r="Q121" s="1"/>
      <c r="R121" s="1"/>
      <c r="S121" s="1"/>
      <c r="Z121" s="24" t="n">
        <f aca="false">IF($AB121="",0,IF(ISNUMBER($B121),IF(AND($B121&gt;=N($B$3),OR(NOT(ISNUMBER($D$3)),$B121&lt;=$D$3)),1,0),1))</f>
        <v>0</v>
      </c>
      <c r="AA121" s="24" t="n">
        <f aca="false">$AA120*(1+IF($Z121=1,N($G121),0))</f>
        <v>1.0035</v>
      </c>
      <c r="AB121" s="0" t="str">
        <f aca="false">IF($F121="","",IFERROR(INDEX(Cilësimet!$B$6:$B$10,MATCH($F121,Cilësimet!$A$6:$A$10,0)),""))</f>
        <v/>
      </c>
    </row>
    <row r="122" customFormat="false" ht="18.75" hidden="false" customHeight="true" outlineLevel="0" collapsed="false">
      <c r="A122" s="1"/>
      <c r="B122" s="17"/>
      <c r="C122" s="18"/>
      <c r="D122" s="18"/>
      <c r="E122" s="19"/>
      <c r="F122" s="20"/>
      <c r="G122" s="21" t="str">
        <f aca="false">IF($AB122="","",Cilësimet!$C$3*(INDEX(Cilësimet!$C$6:$C$10,MATCH($F122,Cilësimet!$A$6:$A$10,0))*N($E122)+INDEX(Cilësimet!$D$6:$D$10,MATCH($F122,Cilësimet!$A$6:$A$10,0))))</f>
        <v/>
      </c>
      <c r="H122" s="22" t="str">
        <f aca="false">IF($Z122=1,$AA122-1,"")</f>
        <v/>
      </c>
      <c r="I122" s="23"/>
      <c r="J122" s="1"/>
      <c r="K122" s="1"/>
      <c r="L122" s="1"/>
      <c r="M122" s="1"/>
      <c r="N122" s="1"/>
      <c r="O122" s="1"/>
      <c r="P122" s="1"/>
      <c r="Q122" s="1"/>
      <c r="R122" s="1"/>
      <c r="S122" s="1"/>
      <c r="Z122" s="24" t="n">
        <f aca="false">IF($AB122="",0,IF(ISNUMBER($B122),IF(AND($B122&gt;=N($B$3),OR(NOT(ISNUMBER($D$3)),$B122&lt;=$D$3)),1,0),1))</f>
        <v>0</v>
      </c>
      <c r="AA122" s="24" t="n">
        <f aca="false">$AA121*(1+IF($Z122=1,N($G122),0))</f>
        <v>1.0035</v>
      </c>
      <c r="AB122" s="0" t="str">
        <f aca="false">IF($F122="","",IFERROR(INDEX(Cilësimet!$B$6:$B$10,MATCH($F122,Cilësimet!$A$6:$A$10,0)),""))</f>
        <v/>
      </c>
    </row>
    <row r="123" customFormat="false" ht="18.75" hidden="false" customHeight="true" outlineLevel="0" collapsed="false">
      <c r="A123" s="1"/>
      <c r="B123" s="17"/>
      <c r="C123" s="18"/>
      <c r="D123" s="18"/>
      <c r="E123" s="19"/>
      <c r="F123" s="20"/>
      <c r="G123" s="21" t="str">
        <f aca="false">IF($AB123="","",Cilësimet!$C$3*(INDEX(Cilësimet!$C$6:$C$10,MATCH($F123,Cilësimet!$A$6:$A$10,0))*N($E123)+INDEX(Cilësimet!$D$6:$D$10,MATCH($F123,Cilësimet!$A$6:$A$10,0))))</f>
        <v/>
      </c>
      <c r="H123" s="22" t="str">
        <f aca="false">IF($Z123=1,$AA123-1,"")</f>
        <v/>
      </c>
      <c r="I123" s="23"/>
      <c r="J123" s="1"/>
      <c r="K123" s="1"/>
      <c r="L123" s="1"/>
      <c r="M123" s="1"/>
      <c r="N123" s="1"/>
      <c r="O123" s="1"/>
      <c r="P123" s="1"/>
      <c r="Q123" s="1"/>
      <c r="R123" s="1"/>
      <c r="S123" s="1"/>
      <c r="Z123" s="24" t="n">
        <f aca="false">IF($AB123="",0,IF(ISNUMBER($B123),IF(AND($B123&gt;=N($B$3),OR(NOT(ISNUMBER($D$3)),$B123&lt;=$D$3)),1,0),1))</f>
        <v>0</v>
      </c>
      <c r="AA123" s="24" t="n">
        <f aca="false">$AA122*(1+IF($Z123=1,N($G123),0))</f>
        <v>1.0035</v>
      </c>
      <c r="AB123" s="0" t="str">
        <f aca="false">IF($F123="","",IFERROR(INDEX(Cilësimet!$B$6:$B$10,MATCH($F123,Cilësimet!$A$6:$A$10,0)),""))</f>
        <v/>
      </c>
    </row>
    <row r="124" customFormat="false" ht="18.75" hidden="false" customHeight="true" outlineLevel="0" collapsed="false">
      <c r="A124" s="1"/>
      <c r="B124" s="17"/>
      <c r="C124" s="18"/>
      <c r="D124" s="18"/>
      <c r="E124" s="19"/>
      <c r="F124" s="20"/>
      <c r="G124" s="21" t="str">
        <f aca="false">IF($AB124="","",Cilësimet!$C$3*(INDEX(Cilësimet!$C$6:$C$10,MATCH($F124,Cilësimet!$A$6:$A$10,0))*N($E124)+INDEX(Cilësimet!$D$6:$D$10,MATCH($F124,Cilësimet!$A$6:$A$10,0))))</f>
        <v/>
      </c>
      <c r="H124" s="22" t="str">
        <f aca="false">IF($Z124=1,$AA124-1,"")</f>
        <v/>
      </c>
      <c r="I124" s="23"/>
      <c r="J124" s="1"/>
      <c r="K124" s="1"/>
      <c r="L124" s="1"/>
      <c r="M124" s="1"/>
      <c r="N124" s="1"/>
      <c r="O124" s="1"/>
      <c r="P124" s="1"/>
      <c r="Q124" s="1"/>
      <c r="R124" s="1"/>
      <c r="S124" s="1"/>
      <c r="Z124" s="24" t="n">
        <f aca="false">IF($AB124="",0,IF(ISNUMBER($B124),IF(AND($B124&gt;=N($B$3),OR(NOT(ISNUMBER($D$3)),$B124&lt;=$D$3)),1,0),1))</f>
        <v>0</v>
      </c>
      <c r="AA124" s="24" t="n">
        <f aca="false">$AA123*(1+IF($Z124=1,N($G124),0))</f>
        <v>1.0035</v>
      </c>
      <c r="AB124" s="0" t="str">
        <f aca="false">IF($F124="","",IFERROR(INDEX(Cilësimet!$B$6:$B$10,MATCH($F124,Cilësimet!$A$6:$A$10,0)),""))</f>
        <v/>
      </c>
    </row>
    <row r="125" customFormat="false" ht="18.75" hidden="false" customHeight="true" outlineLevel="0" collapsed="false">
      <c r="A125" s="1"/>
      <c r="B125" s="17"/>
      <c r="C125" s="18"/>
      <c r="D125" s="18"/>
      <c r="E125" s="19"/>
      <c r="F125" s="20"/>
      <c r="G125" s="21" t="str">
        <f aca="false">IF($AB125="","",Cilësimet!$C$3*(INDEX(Cilësimet!$C$6:$C$10,MATCH($F125,Cilësimet!$A$6:$A$10,0))*N($E125)+INDEX(Cilësimet!$D$6:$D$10,MATCH($F125,Cilësimet!$A$6:$A$10,0))))</f>
        <v/>
      </c>
      <c r="H125" s="22" t="str">
        <f aca="false">IF($Z125=1,$AA125-1,"")</f>
        <v/>
      </c>
      <c r="I125" s="23"/>
      <c r="J125" s="1"/>
      <c r="K125" s="1"/>
      <c r="L125" s="1"/>
      <c r="M125" s="1"/>
      <c r="N125" s="1"/>
      <c r="O125" s="1"/>
      <c r="P125" s="1"/>
      <c r="Q125" s="1"/>
      <c r="R125" s="1"/>
      <c r="S125" s="1"/>
      <c r="Z125" s="24" t="n">
        <f aca="false">IF($AB125="",0,IF(ISNUMBER($B125),IF(AND($B125&gt;=N($B$3),OR(NOT(ISNUMBER($D$3)),$B125&lt;=$D$3)),1,0),1))</f>
        <v>0</v>
      </c>
      <c r="AA125" s="24" t="n">
        <f aca="false">$AA124*(1+IF($Z125=1,N($G125),0))</f>
        <v>1.0035</v>
      </c>
      <c r="AB125" s="0" t="str">
        <f aca="false">IF($F125="","",IFERROR(INDEX(Cilësimet!$B$6:$B$10,MATCH($F125,Cilësimet!$A$6:$A$10,0)),""))</f>
        <v/>
      </c>
    </row>
    <row r="126" customFormat="false" ht="18.75" hidden="false" customHeight="true" outlineLevel="0" collapsed="false">
      <c r="A126" s="1"/>
      <c r="B126" s="17"/>
      <c r="C126" s="18"/>
      <c r="D126" s="18"/>
      <c r="E126" s="19"/>
      <c r="F126" s="20"/>
      <c r="G126" s="21" t="str">
        <f aca="false">IF($AB126="","",Cilësimet!$C$3*(INDEX(Cilësimet!$C$6:$C$10,MATCH($F126,Cilësimet!$A$6:$A$10,0))*N($E126)+INDEX(Cilësimet!$D$6:$D$10,MATCH($F126,Cilësimet!$A$6:$A$10,0))))</f>
        <v/>
      </c>
      <c r="H126" s="22" t="str">
        <f aca="false">IF($Z126=1,$AA126-1,"")</f>
        <v/>
      </c>
      <c r="I126" s="23"/>
      <c r="J126" s="1"/>
      <c r="K126" s="1"/>
      <c r="L126" s="1"/>
      <c r="M126" s="1"/>
      <c r="N126" s="1"/>
      <c r="O126" s="1"/>
      <c r="P126" s="1"/>
      <c r="Q126" s="1"/>
      <c r="R126" s="1"/>
      <c r="S126" s="1"/>
      <c r="Z126" s="24" t="n">
        <f aca="false">IF($AB126="",0,IF(ISNUMBER($B126),IF(AND($B126&gt;=N($B$3),OR(NOT(ISNUMBER($D$3)),$B126&lt;=$D$3)),1,0),1))</f>
        <v>0</v>
      </c>
      <c r="AA126" s="24" t="n">
        <f aca="false">$AA125*(1+IF($Z126=1,N($G126),0))</f>
        <v>1.0035</v>
      </c>
      <c r="AB126" s="0" t="str">
        <f aca="false">IF($F126="","",IFERROR(INDEX(Cilësimet!$B$6:$B$10,MATCH($F126,Cilësimet!$A$6:$A$10,0)),""))</f>
        <v/>
      </c>
    </row>
    <row r="127" customFormat="false" ht="18.75" hidden="false" customHeight="true" outlineLevel="0" collapsed="false">
      <c r="A127" s="1"/>
      <c r="B127" s="17"/>
      <c r="C127" s="18"/>
      <c r="D127" s="18"/>
      <c r="E127" s="19"/>
      <c r="F127" s="20"/>
      <c r="G127" s="21" t="str">
        <f aca="false">IF($AB127="","",Cilësimet!$C$3*(INDEX(Cilësimet!$C$6:$C$10,MATCH($F127,Cilësimet!$A$6:$A$10,0))*N($E127)+INDEX(Cilësimet!$D$6:$D$10,MATCH($F127,Cilësimet!$A$6:$A$10,0))))</f>
        <v/>
      </c>
      <c r="H127" s="22" t="str">
        <f aca="false">IF($Z127=1,$AA127-1,"")</f>
        <v/>
      </c>
      <c r="I127" s="23"/>
      <c r="J127" s="1"/>
      <c r="K127" s="1"/>
      <c r="L127" s="1"/>
      <c r="M127" s="1"/>
      <c r="N127" s="1"/>
      <c r="O127" s="1"/>
      <c r="P127" s="1"/>
      <c r="Q127" s="1"/>
      <c r="R127" s="1"/>
      <c r="S127" s="1"/>
      <c r="Z127" s="24" t="n">
        <f aca="false">IF($AB127="",0,IF(ISNUMBER($B127),IF(AND($B127&gt;=N($B$3),OR(NOT(ISNUMBER($D$3)),$B127&lt;=$D$3)),1,0),1))</f>
        <v>0</v>
      </c>
      <c r="AA127" s="24" t="n">
        <f aca="false">$AA126*(1+IF($Z127=1,N($G127),0))</f>
        <v>1.0035</v>
      </c>
      <c r="AB127" s="0" t="str">
        <f aca="false">IF($F127="","",IFERROR(INDEX(Cilësimet!$B$6:$B$10,MATCH($F127,Cilësimet!$A$6:$A$10,0)),""))</f>
        <v/>
      </c>
    </row>
    <row r="128" customFormat="false" ht="18.75" hidden="false" customHeight="true" outlineLevel="0" collapsed="false">
      <c r="A128" s="1"/>
      <c r="B128" s="17"/>
      <c r="C128" s="18"/>
      <c r="D128" s="18"/>
      <c r="E128" s="19"/>
      <c r="F128" s="20"/>
      <c r="G128" s="21" t="str">
        <f aca="false">IF($AB128="","",Cilësimet!$C$3*(INDEX(Cilësimet!$C$6:$C$10,MATCH($F128,Cilësimet!$A$6:$A$10,0))*N($E128)+INDEX(Cilësimet!$D$6:$D$10,MATCH($F128,Cilësimet!$A$6:$A$10,0))))</f>
        <v/>
      </c>
      <c r="H128" s="22" t="str">
        <f aca="false">IF($Z128=1,$AA128-1,"")</f>
        <v/>
      </c>
      <c r="I128" s="23"/>
      <c r="J128" s="1"/>
      <c r="K128" s="1"/>
      <c r="L128" s="1"/>
      <c r="M128" s="1"/>
      <c r="N128" s="1"/>
      <c r="O128" s="1"/>
      <c r="P128" s="1"/>
      <c r="Q128" s="1"/>
      <c r="R128" s="1"/>
      <c r="S128" s="1"/>
      <c r="Z128" s="24" t="n">
        <f aca="false">IF($AB128="",0,IF(ISNUMBER($B128),IF(AND($B128&gt;=N($B$3),OR(NOT(ISNUMBER($D$3)),$B128&lt;=$D$3)),1,0),1))</f>
        <v>0</v>
      </c>
      <c r="AA128" s="24" t="n">
        <f aca="false">$AA127*(1+IF($Z128=1,N($G128),0))</f>
        <v>1.0035</v>
      </c>
      <c r="AB128" s="0" t="str">
        <f aca="false">IF($F128="","",IFERROR(INDEX(Cilësimet!$B$6:$B$10,MATCH($F128,Cilësimet!$A$6:$A$10,0)),""))</f>
        <v/>
      </c>
    </row>
    <row r="129" customFormat="false" ht="18.75" hidden="false" customHeight="true" outlineLevel="0" collapsed="false">
      <c r="A129" s="1"/>
      <c r="B129" s="17"/>
      <c r="C129" s="18"/>
      <c r="D129" s="18"/>
      <c r="E129" s="19"/>
      <c r="F129" s="20"/>
      <c r="G129" s="21" t="str">
        <f aca="false">IF($AB129="","",Cilësimet!$C$3*(INDEX(Cilësimet!$C$6:$C$10,MATCH($F129,Cilësimet!$A$6:$A$10,0))*N($E129)+INDEX(Cilësimet!$D$6:$D$10,MATCH($F129,Cilësimet!$A$6:$A$10,0))))</f>
        <v/>
      </c>
      <c r="H129" s="22" t="str">
        <f aca="false">IF($Z129=1,$AA129-1,"")</f>
        <v/>
      </c>
      <c r="I129" s="23"/>
      <c r="J129" s="1"/>
      <c r="K129" s="1"/>
      <c r="L129" s="1"/>
      <c r="M129" s="1"/>
      <c r="N129" s="1"/>
      <c r="O129" s="1"/>
      <c r="P129" s="1"/>
      <c r="Q129" s="1"/>
      <c r="R129" s="1"/>
      <c r="S129" s="1"/>
      <c r="Z129" s="24" t="n">
        <f aca="false">IF($AB129="",0,IF(ISNUMBER($B129),IF(AND($B129&gt;=N($B$3),OR(NOT(ISNUMBER($D$3)),$B129&lt;=$D$3)),1,0),1))</f>
        <v>0</v>
      </c>
      <c r="AA129" s="24" t="n">
        <f aca="false">$AA128*(1+IF($Z129=1,N($G129),0))</f>
        <v>1.0035</v>
      </c>
      <c r="AB129" s="0" t="str">
        <f aca="false">IF($F129="","",IFERROR(INDEX(Cilësimet!$B$6:$B$10,MATCH($F129,Cilësimet!$A$6:$A$10,0)),""))</f>
        <v/>
      </c>
    </row>
    <row r="130" customFormat="false" ht="18.75" hidden="false" customHeight="true" outlineLevel="0" collapsed="false">
      <c r="A130" s="1"/>
      <c r="B130" s="17"/>
      <c r="C130" s="18"/>
      <c r="D130" s="18"/>
      <c r="E130" s="19"/>
      <c r="F130" s="20"/>
      <c r="G130" s="21" t="str">
        <f aca="false">IF($AB130="","",Cilësimet!$C$3*(INDEX(Cilësimet!$C$6:$C$10,MATCH($F130,Cilësimet!$A$6:$A$10,0))*N($E130)+INDEX(Cilësimet!$D$6:$D$10,MATCH($F130,Cilësimet!$A$6:$A$10,0))))</f>
        <v/>
      </c>
      <c r="H130" s="22" t="str">
        <f aca="false">IF($Z130=1,$AA130-1,"")</f>
        <v/>
      </c>
      <c r="I130" s="23"/>
      <c r="J130" s="1"/>
      <c r="K130" s="1"/>
      <c r="L130" s="1"/>
      <c r="M130" s="1"/>
      <c r="N130" s="1"/>
      <c r="O130" s="1"/>
      <c r="P130" s="1"/>
      <c r="Q130" s="1"/>
      <c r="R130" s="1"/>
      <c r="S130" s="1"/>
      <c r="Z130" s="24" t="n">
        <f aca="false">IF($AB130="",0,IF(ISNUMBER($B130),IF(AND($B130&gt;=N($B$3),OR(NOT(ISNUMBER($D$3)),$B130&lt;=$D$3)),1,0),1))</f>
        <v>0</v>
      </c>
      <c r="AA130" s="24" t="n">
        <f aca="false">$AA129*(1+IF($Z130=1,N($G130),0))</f>
        <v>1.0035</v>
      </c>
      <c r="AB130" s="0" t="str">
        <f aca="false">IF($F130="","",IFERROR(INDEX(Cilësimet!$B$6:$B$10,MATCH($F130,Cilësimet!$A$6:$A$10,0)),""))</f>
        <v/>
      </c>
    </row>
    <row r="131" customFormat="false" ht="18.75" hidden="false" customHeight="true" outlineLevel="0" collapsed="false">
      <c r="A131" s="1"/>
      <c r="B131" s="17"/>
      <c r="C131" s="18"/>
      <c r="D131" s="18"/>
      <c r="E131" s="19"/>
      <c r="F131" s="20"/>
      <c r="G131" s="21" t="str">
        <f aca="false">IF($AB131="","",Cilësimet!$C$3*(INDEX(Cilësimet!$C$6:$C$10,MATCH($F131,Cilësimet!$A$6:$A$10,0))*N($E131)+INDEX(Cilësimet!$D$6:$D$10,MATCH($F131,Cilësimet!$A$6:$A$10,0))))</f>
        <v/>
      </c>
      <c r="H131" s="22" t="str">
        <f aca="false">IF($Z131=1,$AA131-1,"")</f>
        <v/>
      </c>
      <c r="I131" s="23"/>
      <c r="J131" s="1"/>
      <c r="K131" s="1"/>
      <c r="L131" s="1"/>
      <c r="M131" s="1"/>
      <c r="N131" s="1"/>
      <c r="O131" s="1"/>
      <c r="P131" s="1"/>
      <c r="Q131" s="1"/>
      <c r="R131" s="1"/>
      <c r="S131" s="1"/>
      <c r="Z131" s="24" t="n">
        <f aca="false">IF($AB131="",0,IF(ISNUMBER($B131),IF(AND($B131&gt;=N($B$3),OR(NOT(ISNUMBER($D$3)),$B131&lt;=$D$3)),1,0),1))</f>
        <v>0</v>
      </c>
      <c r="AA131" s="24" t="n">
        <f aca="false">$AA130*(1+IF($Z131=1,N($G131),0))</f>
        <v>1.0035</v>
      </c>
      <c r="AB131" s="0" t="str">
        <f aca="false">IF($F131="","",IFERROR(INDEX(Cilësimet!$B$6:$B$10,MATCH($F131,Cilësimet!$A$6:$A$10,0)),""))</f>
        <v/>
      </c>
    </row>
    <row r="132" customFormat="false" ht="18.75" hidden="false" customHeight="true" outlineLevel="0" collapsed="false">
      <c r="A132" s="1"/>
      <c r="B132" s="17"/>
      <c r="C132" s="18"/>
      <c r="D132" s="18"/>
      <c r="E132" s="19"/>
      <c r="F132" s="20"/>
      <c r="G132" s="21" t="str">
        <f aca="false">IF($AB132="","",Cilësimet!$C$3*(INDEX(Cilësimet!$C$6:$C$10,MATCH($F132,Cilësimet!$A$6:$A$10,0))*N($E132)+INDEX(Cilësimet!$D$6:$D$10,MATCH($F132,Cilësimet!$A$6:$A$10,0))))</f>
        <v/>
      </c>
      <c r="H132" s="22" t="str">
        <f aca="false">IF($Z132=1,$AA132-1,"")</f>
        <v/>
      </c>
      <c r="I132" s="23"/>
      <c r="J132" s="1"/>
      <c r="K132" s="1"/>
      <c r="L132" s="1"/>
      <c r="M132" s="1"/>
      <c r="N132" s="1"/>
      <c r="O132" s="1"/>
      <c r="P132" s="1"/>
      <c r="Q132" s="1"/>
      <c r="R132" s="1"/>
      <c r="S132" s="1"/>
      <c r="Z132" s="24" t="n">
        <f aca="false">IF($AB132="",0,IF(ISNUMBER($B132),IF(AND($B132&gt;=N($B$3),OR(NOT(ISNUMBER($D$3)),$B132&lt;=$D$3)),1,0),1))</f>
        <v>0</v>
      </c>
      <c r="AA132" s="24" t="n">
        <f aca="false">$AA131*(1+IF($Z132=1,N($G132),0))</f>
        <v>1.0035</v>
      </c>
      <c r="AB132" s="0" t="str">
        <f aca="false">IF($F132="","",IFERROR(INDEX(Cilësimet!$B$6:$B$10,MATCH($F132,Cilësimet!$A$6:$A$10,0)),""))</f>
        <v/>
      </c>
    </row>
    <row r="133" customFormat="false" ht="18.75" hidden="false" customHeight="true" outlineLevel="0" collapsed="false">
      <c r="A133" s="1"/>
      <c r="B133" s="17"/>
      <c r="C133" s="18"/>
      <c r="D133" s="18"/>
      <c r="E133" s="19"/>
      <c r="F133" s="20"/>
      <c r="G133" s="21" t="str">
        <f aca="false">IF($AB133="","",Cilësimet!$C$3*(INDEX(Cilësimet!$C$6:$C$10,MATCH($F133,Cilësimet!$A$6:$A$10,0))*N($E133)+INDEX(Cilësimet!$D$6:$D$10,MATCH($F133,Cilësimet!$A$6:$A$10,0))))</f>
        <v/>
      </c>
      <c r="H133" s="22" t="str">
        <f aca="false">IF($Z133=1,$AA133-1,"")</f>
        <v/>
      </c>
      <c r="I133" s="23"/>
      <c r="J133" s="1"/>
      <c r="K133" s="1"/>
      <c r="L133" s="1"/>
      <c r="M133" s="1"/>
      <c r="N133" s="1"/>
      <c r="O133" s="1"/>
      <c r="P133" s="1"/>
      <c r="Q133" s="1"/>
      <c r="R133" s="1"/>
      <c r="S133" s="1"/>
      <c r="Z133" s="24" t="n">
        <f aca="false">IF($AB133="",0,IF(ISNUMBER($B133),IF(AND($B133&gt;=N($B$3),OR(NOT(ISNUMBER($D$3)),$B133&lt;=$D$3)),1,0),1))</f>
        <v>0</v>
      </c>
      <c r="AA133" s="24" t="n">
        <f aca="false">$AA132*(1+IF($Z133=1,N($G133),0))</f>
        <v>1.0035</v>
      </c>
      <c r="AB133" s="0" t="str">
        <f aca="false">IF($F133="","",IFERROR(INDEX(Cilësimet!$B$6:$B$10,MATCH($F133,Cilësimet!$A$6:$A$10,0)),""))</f>
        <v/>
      </c>
    </row>
    <row r="134" customFormat="false" ht="18.75" hidden="false" customHeight="true" outlineLevel="0" collapsed="false">
      <c r="A134" s="1"/>
      <c r="B134" s="17"/>
      <c r="C134" s="18"/>
      <c r="D134" s="18"/>
      <c r="E134" s="19"/>
      <c r="F134" s="20"/>
      <c r="G134" s="21" t="str">
        <f aca="false">IF($AB134="","",Cilësimet!$C$3*(INDEX(Cilësimet!$C$6:$C$10,MATCH($F134,Cilësimet!$A$6:$A$10,0))*N($E134)+INDEX(Cilësimet!$D$6:$D$10,MATCH($F134,Cilësimet!$A$6:$A$10,0))))</f>
        <v/>
      </c>
      <c r="H134" s="22" t="str">
        <f aca="false">IF($Z134=1,$AA134-1,"")</f>
        <v/>
      </c>
      <c r="I134" s="23"/>
      <c r="J134" s="1"/>
      <c r="K134" s="1"/>
      <c r="L134" s="1"/>
      <c r="M134" s="1"/>
      <c r="N134" s="1"/>
      <c r="O134" s="1"/>
      <c r="P134" s="1"/>
      <c r="Q134" s="1"/>
      <c r="R134" s="1"/>
      <c r="S134" s="1"/>
      <c r="Z134" s="24" t="n">
        <f aca="false">IF($AB134="",0,IF(ISNUMBER($B134),IF(AND($B134&gt;=N($B$3),OR(NOT(ISNUMBER($D$3)),$B134&lt;=$D$3)),1,0),1))</f>
        <v>0</v>
      </c>
      <c r="AA134" s="24" t="n">
        <f aca="false">$AA133*(1+IF($Z134=1,N($G134),0))</f>
        <v>1.0035</v>
      </c>
      <c r="AB134" s="0" t="str">
        <f aca="false">IF($F134="","",IFERROR(INDEX(Cilësimet!$B$6:$B$10,MATCH($F134,Cilësimet!$A$6:$A$10,0)),""))</f>
        <v/>
      </c>
    </row>
    <row r="135" customFormat="false" ht="18.75" hidden="false" customHeight="true" outlineLevel="0" collapsed="false">
      <c r="A135" s="1"/>
      <c r="B135" s="17"/>
      <c r="C135" s="18"/>
      <c r="D135" s="18"/>
      <c r="E135" s="19"/>
      <c r="F135" s="20"/>
      <c r="G135" s="21" t="str">
        <f aca="false">IF($AB135="","",Cilësimet!$C$3*(INDEX(Cilësimet!$C$6:$C$10,MATCH($F135,Cilësimet!$A$6:$A$10,0))*N($E135)+INDEX(Cilësimet!$D$6:$D$10,MATCH($F135,Cilësimet!$A$6:$A$10,0))))</f>
        <v/>
      </c>
      <c r="H135" s="22" t="str">
        <f aca="false">IF($Z135=1,$AA135-1,"")</f>
        <v/>
      </c>
      <c r="I135" s="23"/>
      <c r="J135" s="1"/>
      <c r="K135" s="1"/>
      <c r="L135" s="1"/>
      <c r="M135" s="1"/>
      <c r="N135" s="1"/>
      <c r="O135" s="1"/>
      <c r="P135" s="1"/>
      <c r="Q135" s="1"/>
      <c r="R135" s="1"/>
      <c r="S135" s="1"/>
      <c r="Z135" s="24" t="n">
        <f aca="false">IF($AB135="",0,IF(ISNUMBER($B135),IF(AND($B135&gt;=N($B$3),OR(NOT(ISNUMBER($D$3)),$B135&lt;=$D$3)),1,0),1))</f>
        <v>0</v>
      </c>
      <c r="AA135" s="24" t="n">
        <f aca="false">$AA134*(1+IF($Z135=1,N($G135),0))</f>
        <v>1.0035</v>
      </c>
      <c r="AB135" s="0" t="str">
        <f aca="false">IF($F135="","",IFERROR(INDEX(Cilësimet!$B$6:$B$10,MATCH($F135,Cilësimet!$A$6:$A$10,0)),""))</f>
        <v/>
      </c>
    </row>
    <row r="136" customFormat="false" ht="18.75" hidden="false" customHeight="true" outlineLevel="0" collapsed="false">
      <c r="A136" s="1"/>
      <c r="B136" s="17"/>
      <c r="C136" s="18"/>
      <c r="D136" s="18"/>
      <c r="E136" s="19"/>
      <c r="F136" s="20"/>
      <c r="G136" s="21" t="str">
        <f aca="false">IF($AB136="","",Cilësimet!$C$3*(INDEX(Cilësimet!$C$6:$C$10,MATCH($F136,Cilësimet!$A$6:$A$10,0))*N($E136)+INDEX(Cilësimet!$D$6:$D$10,MATCH($F136,Cilësimet!$A$6:$A$10,0))))</f>
        <v/>
      </c>
      <c r="H136" s="22" t="str">
        <f aca="false">IF($Z136=1,$AA136-1,"")</f>
        <v/>
      </c>
      <c r="I136" s="23"/>
      <c r="J136" s="1"/>
      <c r="K136" s="1"/>
      <c r="L136" s="1"/>
      <c r="M136" s="1"/>
      <c r="N136" s="1"/>
      <c r="O136" s="1"/>
      <c r="P136" s="1"/>
      <c r="Q136" s="1"/>
      <c r="R136" s="1"/>
      <c r="S136" s="1"/>
      <c r="Z136" s="24" t="n">
        <f aca="false">IF($AB136="",0,IF(ISNUMBER($B136),IF(AND($B136&gt;=N($B$3),OR(NOT(ISNUMBER($D$3)),$B136&lt;=$D$3)),1,0),1))</f>
        <v>0</v>
      </c>
      <c r="AA136" s="24" t="n">
        <f aca="false">$AA135*(1+IF($Z136=1,N($G136),0))</f>
        <v>1.0035</v>
      </c>
      <c r="AB136" s="0" t="str">
        <f aca="false">IF($F136="","",IFERROR(INDEX(Cilësimet!$B$6:$B$10,MATCH($F136,Cilësimet!$A$6:$A$10,0)),""))</f>
        <v/>
      </c>
    </row>
    <row r="137" customFormat="false" ht="18.75" hidden="false" customHeight="true" outlineLevel="0" collapsed="false">
      <c r="A137" s="1"/>
      <c r="B137" s="17"/>
      <c r="C137" s="18"/>
      <c r="D137" s="18"/>
      <c r="E137" s="19"/>
      <c r="F137" s="20"/>
      <c r="G137" s="21" t="str">
        <f aca="false">IF($AB137="","",Cilësimet!$C$3*(INDEX(Cilësimet!$C$6:$C$10,MATCH($F137,Cilësimet!$A$6:$A$10,0))*N($E137)+INDEX(Cilësimet!$D$6:$D$10,MATCH($F137,Cilësimet!$A$6:$A$10,0))))</f>
        <v/>
      </c>
      <c r="H137" s="22" t="str">
        <f aca="false">IF($Z137=1,$AA137-1,"")</f>
        <v/>
      </c>
      <c r="I137" s="23"/>
      <c r="J137" s="1"/>
      <c r="K137" s="1"/>
      <c r="L137" s="1"/>
      <c r="M137" s="1"/>
      <c r="N137" s="1"/>
      <c r="O137" s="1"/>
      <c r="P137" s="1"/>
      <c r="Q137" s="1"/>
      <c r="R137" s="1"/>
      <c r="S137" s="1"/>
      <c r="Z137" s="24" t="n">
        <f aca="false">IF($AB137="",0,IF(ISNUMBER($B137),IF(AND($B137&gt;=N($B$3),OR(NOT(ISNUMBER($D$3)),$B137&lt;=$D$3)),1,0),1))</f>
        <v>0</v>
      </c>
      <c r="AA137" s="24" t="n">
        <f aca="false">$AA136*(1+IF($Z137=1,N($G137),0))</f>
        <v>1.0035</v>
      </c>
      <c r="AB137" s="0" t="str">
        <f aca="false">IF($F137="","",IFERROR(INDEX(Cilësimet!$B$6:$B$10,MATCH($F137,Cilësimet!$A$6:$A$10,0)),""))</f>
        <v/>
      </c>
    </row>
    <row r="138" customFormat="false" ht="18.75" hidden="false" customHeight="true" outlineLevel="0" collapsed="false">
      <c r="A138" s="1"/>
      <c r="B138" s="17"/>
      <c r="C138" s="18"/>
      <c r="D138" s="18"/>
      <c r="E138" s="19"/>
      <c r="F138" s="20"/>
      <c r="G138" s="21" t="str">
        <f aca="false">IF($AB138="","",Cilësimet!$C$3*(INDEX(Cilësimet!$C$6:$C$10,MATCH($F138,Cilësimet!$A$6:$A$10,0))*N($E138)+INDEX(Cilësimet!$D$6:$D$10,MATCH($F138,Cilësimet!$A$6:$A$10,0))))</f>
        <v/>
      </c>
      <c r="H138" s="22" t="str">
        <f aca="false">IF($Z138=1,$AA138-1,"")</f>
        <v/>
      </c>
      <c r="I138" s="23"/>
      <c r="J138" s="1"/>
      <c r="K138" s="1"/>
      <c r="L138" s="1"/>
      <c r="M138" s="1"/>
      <c r="N138" s="1"/>
      <c r="O138" s="1"/>
      <c r="P138" s="1"/>
      <c r="Q138" s="1"/>
      <c r="R138" s="1"/>
      <c r="S138" s="1"/>
      <c r="Z138" s="24" t="n">
        <f aca="false">IF($AB138="",0,IF(ISNUMBER($B138),IF(AND($B138&gt;=N($B$3),OR(NOT(ISNUMBER($D$3)),$B138&lt;=$D$3)),1,0),1))</f>
        <v>0</v>
      </c>
      <c r="AA138" s="24" t="n">
        <f aca="false">$AA137*(1+IF($Z138=1,N($G138),0))</f>
        <v>1.0035</v>
      </c>
      <c r="AB138" s="0" t="str">
        <f aca="false">IF($F138="","",IFERROR(INDEX(Cilësimet!$B$6:$B$10,MATCH($F138,Cilësimet!$A$6:$A$10,0)),""))</f>
        <v/>
      </c>
    </row>
    <row r="139" customFormat="false" ht="18.75" hidden="false" customHeight="true" outlineLevel="0" collapsed="false">
      <c r="A139" s="1"/>
      <c r="B139" s="17"/>
      <c r="C139" s="18"/>
      <c r="D139" s="18"/>
      <c r="E139" s="19"/>
      <c r="F139" s="20"/>
      <c r="G139" s="21" t="str">
        <f aca="false">IF($AB139="","",Cilësimet!$C$3*(INDEX(Cilësimet!$C$6:$C$10,MATCH($F139,Cilësimet!$A$6:$A$10,0))*N($E139)+INDEX(Cilësimet!$D$6:$D$10,MATCH($F139,Cilësimet!$A$6:$A$10,0))))</f>
        <v/>
      </c>
      <c r="H139" s="22" t="str">
        <f aca="false">IF($Z139=1,$AA139-1,"")</f>
        <v/>
      </c>
      <c r="I139" s="23"/>
      <c r="J139" s="1"/>
      <c r="K139" s="1"/>
      <c r="L139" s="1"/>
      <c r="M139" s="1"/>
      <c r="N139" s="1"/>
      <c r="O139" s="1"/>
      <c r="P139" s="1"/>
      <c r="Q139" s="1"/>
      <c r="R139" s="1"/>
      <c r="S139" s="1"/>
      <c r="Z139" s="24" t="n">
        <f aca="false">IF($AB139="",0,IF(ISNUMBER($B139),IF(AND($B139&gt;=N($B$3),OR(NOT(ISNUMBER($D$3)),$B139&lt;=$D$3)),1,0),1))</f>
        <v>0</v>
      </c>
      <c r="AA139" s="24" t="n">
        <f aca="false">$AA138*(1+IF($Z139=1,N($G139),0))</f>
        <v>1.0035</v>
      </c>
      <c r="AB139" s="0" t="str">
        <f aca="false">IF($F139="","",IFERROR(INDEX(Cilësimet!$B$6:$B$10,MATCH($F139,Cilësimet!$A$6:$A$10,0)),""))</f>
        <v/>
      </c>
    </row>
    <row r="140" customFormat="false" ht="18.75" hidden="false" customHeight="true" outlineLevel="0" collapsed="false">
      <c r="A140" s="1"/>
      <c r="B140" s="17"/>
      <c r="C140" s="18"/>
      <c r="D140" s="18"/>
      <c r="E140" s="19"/>
      <c r="F140" s="20"/>
      <c r="G140" s="21" t="str">
        <f aca="false">IF($AB140="","",Cilësimet!$C$3*(INDEX(Cilësimet!$C$6:$C$10,MATCH($F140,Cilësimet!$A$6:$A$10,0))*N($E140)+INDEX(Cilësimet!$D$6:$D$10,MATCH($F140,Cilësimet!$A$6:$A$10,0))))</f>
        <v/>
      </c>
      <c r="H140" s="22" t="str">
        <f aca="false">IF($Z140=1,$AA140-1,"")</f>
        <v/>
      </c>
      <c r="I140" s="23"/>
      <c r="J140" s="1"/>
      <c r="K140" s="1"/>
      <c r="L140" s="1"/>
      <c r="M140" s="1"/>
      <c r="N140" s="1"/>
      <c r="O140" s="1"/>
      <c r="P140" s="1"/>
      <c r="Q140" s="1"/>
      <c r="R140" s="1"/>
      <c r="S140" s="1"/>
      <c r="Z140" s="24" t="n">
        <f aca="false">IF($AB140="",0,IF(ISNUMBER($B140),IF(AND($B140&gt;=N($B$3),OR(NOT(ISNUMBER($D$3)),$B140&lt;=$D$3)),1,0),1))</f>
        <v>0</v>
      </c>
      <c r="AA140" s="24" t="n">
        <f aca="false">$AA139*(1+IF($Z140=1,N($G140),0))</f>
        <v>1.0035</v>
      </c>
      <c r="AB140" s="0" t="str">
        <f aca="false">IF($F140="","",IFERROR(INDEX(Cilësimet!$B$6:$B$10,MATCH($F140,Cilësimet!$A$6:$A$10,0)),""))</f>
        <v/>
      </c>
    </row>
    <row r="141" customFormat="false" ht="18.75" hidden="false" customHeight="true" outlineLevel="0" collapsed="false">
      <c r="A141" s="1"/>
      <c r="B141" s="17"/>
      <c r="C141" s="18"/>
      <c r="D141" s="18"/>
      <c r="E141" s="19"/>
      <c r="F141" s="20"/>
      <c r="G141" s="21" t="str">
        <f aca="false">IF($AB141="","",Cilësimet!$C$3*(INDEX(Cilësimet!$C$6:$C$10,MATCH($F141,Cilësimet!$A$6:$A$10,0))*N($E141)+INDEX(Cilësimet!$D$6:$D$10,MATCH($F141,Cilësimet!$A$6:$A$10,0))))</f>
        <v/>
      </c>
      <c r="H141" s="22" t="str">
        <f aca="false">IF($Z141=1,$AA141-1,"")</f>
        <v/>
      </c>
      <c r="I141" s="23"/>
      <c r="J141" s="1"/>
      <c r="K141" s="1"/>
      <c r="L141" s="1"/>
      <c r="M141" s="1"/>
      <c r="N141" s="1"/>
      <c r="O141" s="1"/>
      <c r="P141" s="1"/>
      <c r="Q141" s="1"/>
      <c r="R141" s="1"/>
      <c r="S141" s="1"/>
      <c r="Z141" s="24" t="n">
        <f aca="false">IF($AB141="",0,IF(ISNUMBER($B141),IF(AND($B141&gt;=N($B$3),OR(NOT(ISNUMBER($D$3)),$B141&lt;=$D$3)),1,0),1))</f>
        <v>0</v>
      </c>
      <c r="AA141" s="24" t="n">
        <f aca="false">$AA140*(1+IF($Z141=1,N($G141),0))</f>
        <v>1.0035</v>
      </c>
      <c r="AB141" s="0" t="str">
        <f aca="false">IF($F141="","",IFERROR(INDEX(Cilësimet!$B$6:$B$10,MATCH($F141,Cilësimet!$A$6:$A$10,0)),""))</f>
        <v/>
      </c>
    </row>
    <row r="142" customFormat="false" ht="18.75" hidden="false" customHeight="true" outlineLevel="0" collapsed="false">
      <c r="A142" s="1"/>
      <c r="B142" s="17"/>
      <c r="C142" s="18"/>
      <c r="D142" s="18"/>
      <c r="E142" s="19"/>
      <c r="F142" s="20"/>
      <c r="G142" s="21" t="str">
        <f aca="false">IF($AB142="","",Cilësimet!$C$3*(INDEX(Cilësimet!$C$6:$C$10,MATCH($F142,Cilësimet!$A$6:$A$10,0))*N($E142)+INDEX(Cilësimet!$D$6:$D$10,MATCH($F142,Cilësimet!$A$6:$A$10,0))))</f>
        <v/>
      </c>
      <c r="H142" s="22" t="str">
        <f aca="false">IF($Z142=1,$AA142-1,"")</f>
        <v/>
      </c>
      <c r="I142" s="23"/>
      <c r="J142" s="1"/>
      <c r="K142" s="1"/>
      <c r="L142" s="1"/>
      <c r="M142" s="1"/>
      <c r="N142" s="1"/>
      <c r="O142" s="1"/>
      <c r="P142" s="1"/>
      <c r="Q142" s="1"/>
      <c r="R142" s="1"/>
      <c r="S142" s="1"/>
      <c r="Z142" s="24" t="n">
        <f aca="false">IF($AB142="",0,IF(ISNUMBER($B142),IF(AND($B142&gt;=N($B$3),OR(NOT(ISNUMBER($D$3)),$B142&lt;=$D$3)),1,0),1))</f>
        <v>0</v>
      </c>
      <c r="AA142" s="24" t="n">
        <f aca="false">$AA141*(1+IF($Z142=1,N($G142),0))</f>
        <v>1.0035</v>
      </c>
      <c r="AB142" s="0" t="str">
        <f aca="false">IF($F142="","",IFERROR(INDEX(Cilësimet!$B$6:$B$10,MATCH($F142,Cilësimet!$A$6:$A$10,0)),""))</f>
        <v/>
      </c>
    </row>
    <row r="143" customFormat="false" ht="18.75" hidden="false" customHeight="true" outlineLevel="0" collapsed="false">
      <c r="A143" s="1"/>
      <c r="B143" s="17"/>
      <c r="C143" s="18"/>
      <c r="D143" s="18"/>
      <c r="E143" s="19"/>
      <c r="F143" s="20"/>
      <c r="G143" s="21" t="str">
        <f aca="false">IF($AB143="","",Cilësimet!$C$3*(INDEX(Cilësimet!$C$6:$C$10,MATCH($F143,Cilësimet!$A$6:$A$10,0))*N($E143)+INDEX(Cilësimet!$D$6:$D$10,MATCH($F143,Cilësimet!$A$6:$A$10,0))))</f>
        <v/>
      </c>
      <c r="H143" s="22" t="str">
        <f aca="false">IF($Z143=1,$AA143-1,"")</f>
        <v/>
      </c>
      <c r="I143" s="23"/>
      <c r="J143" s="1"/>
      <c r="K143" s="1"/>
      <c r="L143" s="1"/>
      <c r="M143" s="1"/>
      <c r="N143" s="1"/>
      <c r="O143" s="1"/>
      <c r="P143" s="1"/>
      <c r="Q143" s="1"/>
      <c r="R143" s="1"/>
      <c r="S143" s="1"/>
      <c r="Z143" s="24" t="n">
        <f aca="false">IF($AB143="",0,IF(ISNUMBER($B143),IF(AND($B143&gt;=N($B$3),OR(NOT(ISNUMBER($D$3)),$B143&lt;=$D$3)),1,0),1))</f>
        <v>0</v>
      </c>
      <c r="AA143" s="24" t="n">
        <f aca="false">$AA142*(1+IF($Z143=1,N($G143),0))</f>
        <v>1.0035</v>
      </c>
      <c r="AB143" s="0" t="str">
        <f aca="false">IF($F143="","",IFERROR(INDEX(Cilësimet!$B$6:$B$10,MATCH($F143,Cilësimet!$A$6:$A$10,0)),""))</f>
        <v/>
      </c>
    </row>
    <row r="144" customFormat="false" ht="18.75" hidden="false" customHeight="true" outlineLevel="0" collapsed="false">
      <c r="A144" s="1"/>
      <c r="B144" s="17"/>
      <c r="C144" s="18"/>
      <c r="D144" s="18"/>
      <c r="E144" s="19"/>
      <c r="F144" s="20"/>
      <c r="G144" s="21" t="str">
        <f aca="false">IF($AB144="","",Cilësimet!$C$3*(INDEX(Cilësimet!$C$6:$C$10,MATCH($F144,Cilësimet!$A$6:$A$10,0))*N($E144)+INDEX(Cilësimet!$D$6:$D$10,MATCH($F144,Cilësimet!$A$6:$A$10,0))))</f>
        <v/>
      </c>
      <c r="H144" s="22" t="str">
        <f aca="false">IF($Z144=1,$AA144-1,"")</f>
        <v/>
      </c>
      <c r="I144" s="23"/>
      <c r="J144" s="1"/>
      <c r="K144" s="1"/>
      <c r="L144" s="1"/>
      <c r="M144" s="1"/>
      <c r="N144" s="1"/>
      <c r="O144" s="1"/>
      <c r="P144" s="1"/>
      <c r="Q144" s="1"/>
      <c r="R144" s="1"/>
      <c r="S144" s="1"/>
      <c r="Z144" s="24" t="n">
        <f aca="false">IF($AB144="",0,IF(ISNUMBER($B144),IF(AND($B144&gt;=N($B$3),OR(NOT(ISNUMBER($D$3)),$B144&lt;=$D$3)),1,0),1))</f>
        <v>0</v>
      </c>
      <c r="AA144" s="24" t="n">
        <f aca="false">$AA143*(1+IF($Z144=1,N($G144),0))</f>
        <v>1.0035</v>
      </c>
      <c r="AB144" s="0" t="str">
        <f aca="false">IF($F144="","",IFERROR(INDEX(Cilësimet!$B$6:$B$10,MATCH($F144,Cilësimet!$A$6:$A$10,0)),""))</f>
        <v/>
      </c>
    </row>
    <row r="145" customFormat="false" ht="18.75" hidden="false" customHeight="true" outlineLevel="0" collapsed="false">
      <c r="A145" s="1"/>
      <c r="B145" s="17"/>
      <c r="C145" s="18"/>
      <c r="D145" s="18"/>
      <c r="E145" s="19"/>
      <c r="F145" s="20"/>
      <c r="G145" s="21" t="str">
        <f aca="false">IF($AB145="","",Cilësimet!$C$3*(INDEX(Cilësimet!$C$6:$C$10,MATCH($F145,Cilësimet!$A$6:$A$10,0))*N($E145)+INDEX(Cilësimet!$D$6:$D$10,MATCH($F145,Cilësimet!$A$6:$A$10,0))))</f>
        <v/>
      </c>
      <c r="H145" s="22" t="str">
        <f aca="false">IF($Z145=1,$AA145-1,"")</f>
        <v/>
      </c>
      <c r="I145" s="23"/>
      <c r="J145" s="1"/>
      <c r="K145" s="1"/>
      <c r="L145" s="1"/>
      <c r="M145" s="1"/>
      <c r="N145" s="1"/>
      <c r="O145" s="1"/>
      <c r="P145" s="1"/>
      <c r="Q145" s="1"/>
      <c r="R145" s="1"/>
      <c r="S145" s="1"/>
      <c r="Z145" s="24" t="n">
        <f aca="false">IF($AB145="",0,IF(ISNUMBER($B145),IF(AND($B145&gt;=N($B$3),OR(NOT(ISNUMBER($D$3)),$B145&lt;=$D$3)),1,0),1))</f>
        <v>0</v>
      </c>
      <c r="AA145" s="24" t="n">
        <f aca="false">$AA144*(1+IF($Z145=1,N($G145),0))</f>
        <v>1.0035</v>
      </c>
      <c r="AB145" s="0" t="str">
        <f aca="false">IF($F145="","",IFERROR(INDEX(Cilësimet!$B$6:$B$10,MATCH($F145,Cilësimet!$A$6:$A$10,0)),""))</f>
        <v/>
      </c>
    </row>
    <row r="146" customFormat="false" ht="18.75" hidden="false" customHeight="true" outlineLevel="0" collapsed="false">
      <c r="A146" s="1"/>
      <c r="B146" s="17"/>
      <c r="C146" s="18"/>
      <c r="D146" s="18"/>
      <c r="E146" s="19"/>
      <c r="F146" s="20"/>
      <c r="G146" s="21" t="str">
        <f aca="false">IF($AB146="","",Cilësimet!$C$3*(INDEX(Cilësimet!$C$6:$C$10,MATCH($F146,Cilësimet!$A$6:$A$10,0))*N($E146)+INDEX(Cilësimet!$D$6:$D$10,MATCH($F146,Cilësimet!$A$6:$A$10,0))))</f>
        <v/>
      </c>
      <c r="H146" s="22" t="str">
        <f aca="false">IF($Z146=1,$AA146-1,"")</f>
        <v/>
      </c>
      <c r="I146" s="23"/>
      <c r="J146" s="1"/>
      <c r="K146" s="1"/>
      <c r="L146" s="1"/>
      <c r="M146" s="1"/>
      <c r="N146" s="1"/>
      <c r="O146" s="1"/>
      <c r="P146" s="1"/>
      <c r="Q146" s="1"/>
      <c r="R146" s="1"/>
      <c r="S146" s="1"/>
      <c r="Z146" s="24" t="n">
        <f aca="false">IF($AB146="",0,IF(ISNUMBER($B146),IF(AND($B146&gt;=N($B$3),OR(NOT(ISNUMBER($D$3)),$B146&lt;=$D$3)),1,0),1))</f>
        <v>0</v>
      </c>
      <c r="AA146" s="24" t="n">
        <f aca="false">$AA145*(1+IF($Z146=1,N($G146),0))</f>
        <v>1.0035</v>
      </c>
      <c r="AB146" s="0" t="str">
        <f aca="false">IF($F146="","",IFERROR(INDEX(Cilësimet!$B$6:$B$10,MATCH($F146,Cilësimet!$A$6:$A$10,0)),""))</f>
        <v/>
      </c>
    </row>
    <row r="147" customFormat="false" ht="18.75" hidden="false" customHeight="true" outlineLevel="0" collapsed="false">
      <c r="A147" s="1"/>
      <c r="B147" s="17"/>
      <c r="C147" s="18"/>
      <c r="D147" s="18"/>
      <c r="E147" s="19"/>
      <c r="F147" s="20"/>
      <c r="G147" s="21" t="str">
        <f aca="false">IF($AB147="","",Cilësimet!$C$3*(INDEX(Cilësimet!$C$6:$C$10,MATCH($F147,Cilësimet!$A$6:$A$10,0))*N($E147)+INDEX(Cilësimet!$D$6:$D$10,MATCH($F147,Cilësimet!$A$6:$A$10,0))))</f>
        <v/>
      </c>
      <c r="H147" s="22" t="str">
        <f aca="false">IF($Z147=1,$AA147-1,"")</f>
        <v/>
      </c>
      <c r="I147" s="23"/>
      <c r="J147" s="1"/>
      <c r="K147" s="1"/>
      <c r="L147" s="1"/>
      <c r="M147" s="1"/>
      <c r="N147" s="1"/>
      <c r="O147" s="1"/>
      <c r="P147" s="1"/>
      <c r="Q147" s="1"/>
      <c r="R147" s="1"/>
      <c r="S147" s="1"/>
      <c r="Z147" s="24" t="n">
        <f aca="false">IF($AB147="",0,IF(ISNUMBER($B147),IF(AND($B147&gt;=N($B$3),OR(NOT(ISNUMBER($D$3)),$B147&lt;=$D$3)),1,0),1))</f>
        <v>0</v>
      </c>
      <c r="AA147" s="24" t="n">
        <f aca="false">$AA146*(1+IF($Z147=1,N($G147),0))</f>
        <v>1.0035</v>
      </c>
      <c r="AB147" s="0" t="str">
        <f aca="false">IF($F147="","",IFERROR(INDEX(Cilësimet!$B$6:$B$10,MATCH($F147,Cilësimet!$A$6:$A$10,0)),""))</f>
        <v/>
      </c>
    </row>
    <row r="148" customFormat="false" ht="18.75" hidden="false" customHeight="true" outlineLevel="0" collapsed="false">
      <c r="A148" s="1"/>
      <c r="B148" s="17"/>
      <c r="C148" s="18"/>
      <c r="D148" s="18"/>
      <c r="E148" s="19"/>
      <c r="F148" s="20"/>
      <c r="G148" s="21" t="str">
        <f aca="false">IF($AB148="","",Cilësimet!$C$3*(INDEX(Cilësimet!$C$6:$C$10,MATCH($F148,Cilësimet!$A$6:$A$10,0))*N($E148)+INDEX(Cilësimet!$D$6:$D$10,MATCH($F148,Cilësimet!$A$6:$A$10,0))))</f>
        <v/>
      </c>
      <c r="H148" s="22" t="str">
        <f aca="false">IF($Z148=1,$AA148-1,"")</f>
        <v/>
      </c>
      <c r="I148" s="23"/>
      <c r="J148" s="1"/>
      <c r="K148" s="1"/>
      <c r="L148" s="1"/>
      <c r="M148" s="1"/>
      <c r="N148" s="1"/>
      <c r="O148" s="1"/>
      <c r="P148" s="1"/>
      <c r="Q148" s="1"/>
      <c r="R148" s="1"/>
      <c r="S148" s="1"/>
      <c r="Z148" s="24" t="n">
        <f aca="false">IF($AB148="",0,IF(ISNUMBER($B148),IF(AND($B148&gt;=N($B$3),OR(NOT(ISNUMBER($D$3)),$B148&lt;=$D$3)),1,0),1))</f>
        <v>0</v>
      </c>
      <c r="AA148" s="24" t="n">
        <f aca="false">$AA147*(1+IF($Z148=1,N($G148),0))</f>
        <v>1.0035</v>
      </c>
      <c r="AB148" s="0" t="str">
        <f aca="false">IF($F148="","",IFERROR(INDEX(Cilësimet!$B$6:$B$10,MATCH($F148,Cilësimet!$A$6:$A$10,0)),""))</f>
        <v/>
      </c>
    </row>
    <row r="149" customFormat="false" ht="18.75" hidden="false" customHeight="true" outlineLevel="0" collapsed="false">
      <c r="A149" s="1"/>
      <c r="B149" s="17"/>
      <c r="C149" s="18"/>
      <c r="D149" s="18"/>
      <c r="E149" s="19"/>
      <c r="F149" s="20"/>
      <c r="G149" s="21" t="str">
        <f aca="false">IF($AB149="","",Cilësimet!$C$3*(INDEX(Cilësimet!$C$6:$C$10,MATCH($F149,Cilësimet!$A$6:$A$10,0))*N($E149)+INDEX(Cilësimet!$D$6:$D$10,MATCH($F149,Cilësimet!$A$6:$A$10,0))))</f>
        <v/>
      </c>
      <c r="H149" s="22" t="str">
        <f aca="false">IF($Z149=1,$AA149-1,"")</f>
        <v/>
      </c>
      <c r="I149" s="23"/>
      <c r="J149" s="1"/>
      <c r="K149" s="1"/>
      <c r="L149" s="1"/>
      <c r="M149" s="1"/>
      <c r="N149" s="1"/>
      <c r="O149" s="1"/>
      <c r="P149" s="1"/>
      <c r="Q149" s="1"/>
      <c r="R149" s="1"/>
      <c r="S149" s="1"/>
      <c r="Z149" s="24" t="n">
        <f aca="false">IF($AB149="",0,IF(ISNUMBER($B149),IF(AND($B149&gt;=N($B$3),OR(NOT(ISNUMBER($D$3)),$B149&lt;=$D$3)),1,0),1))</f>
        <v>0</v>
      </c>
      <c r="AA149" s="24" t="n">
        <f aca="false">$AA148*(1+IF($Z149=1,N($G149),0))</f>
        <v>1.0035</v>
      </c>
      <c r="AB149" s="0" t="str">
        <f aca="false">IF($F149="","",IFERROR(INDEX(Cilësimet!$B$6:$B$10,MATCH($F149,Cilësimet!$A$6:$A$10,0)),""))</f>
        <v/>
      </c>
    </row>
    <row r="150" customFormat="false" ht="18.75" hidden="false" customHeight="true" outlineLevel="0" collapsed="false">
      <c r="A150" s="1"/>
      <c r="B150" s="17"/>
      <c r="C150" s="18"/>
      <c r="D150" s="18"/>
      <c r="E150" s="19"/>
      <c r="F150" s="20"/>
      <c r="G150" s="21" t="str">
        <f aca="false">IF($AB150="","",Cilësimet!$C$3*(INDEX(Cilësimet!$C$6:$C$10,MATCH($F150,Cilësimet!$A$6:$A$10,0))*N($E150)+INDEX(Cilësimet!$D$6:$D$10,MATCH($F150,Cilësimet!$A$6:$A$10,0))))</f>
        <v/>
      </c>
      <c r="H150" s="22" t="str">
        <f aca="false">IF($Z150=1,$AA150-1,"")</f>
        <v/>
      </c>
      <c r="I150" s="23"/>
      <c r="J150" s="1"/>
      <c r="K150" s="1"/>
      <c r="L150" s="1"/>
      <c r="M150" s="1"/>
      <c r="N150" s="1"/>
      <c r="O150" s="1"/>
      <c r="P150" s="1"/>
      <c r="Q150" s="1"/>
      <c r="R150" s="1"/>
      <c r="S150" s="1"/>
      <c r="Z150" s="24" t="n">
        <f aca="false">IF($AB150="",0,IF(ISNUMBER($B150),IF(AND($B150&gt;=N($B$3),OR(NOT(ISNUMBER($D$3)),$B150&lt;=$D$3)),1,0),1))</f>
        <v>0</v>
      </c>
      <c r="AA150" s="24" t="n">
        <f aca="false">$AA149*(1+IF($Z150=1,N($G150),0))</f>
        <v>1.0035</v>
      </c>
      <c r="AB150" s="0" t="str">
        <f aca="false">IF($F150="","",IFERROR(INDEX(Cilësimet!$B$6:$B$10,MATCH($F150,Cilësimet!$A$6:$A$10,0)),""))</f>
        <v/>
      </c>
    </row>
    <row r="151" customFormat="false" ht="18.75" hidden="false" customHeight="true" outlineLevel="0" collapsed="false">
      <c r="A151" s="1"/>
      <c r="B151" s="17"/>
      <c r="C151" s="18"/>
      <c r="D151" s="18"/>
      <c r="E151" s="19"/>
      <c r="F151" s="20"/>
      <c r="G151" s="21" t="str">
        <f aca="false">IF($AB151="","",Cilësimet!$C$3*(INDEX(Cilësimet!$C$6:$C$10,MATCH($F151,Cilësimet!$A$6:$A$10,0))*N($E151)+INDEX(Cilësimet!$D$6:$D$10,MATCH($F151,Cilësimet!$A$6:$A$10,0))))</f>
        <v/>
      </c>
      <c r="H151" s="22" t="str">
        <f aca="false">IF($Z151=1,$AA151-1,"")</f>
        <v/>
      </c>
      <c r="I151" s="23"/>
      <c r="J151" s="1"/>
      <c r="K151" s="1"/>
      <c r="L151" s="1"/>
      <c r="M151" s="1"/>
      <c r="N151" s="1"/>
      <c r="O151" s="1"/>
      <c r="P151" s="1"/>
      <c r="Q151" s="1"/>
      <c r="R151" s="1"/>
      <c r="S151" s="1"/>
      <c r="Z151" s="24" t="n">
        <f aca="false">IF($AB151="",0,IF(ISNUMBER($B151),IF(AND($B151&gt;=N($B$3),OR(NOT(ISNUMBER($D$3)),$B151&lt;=$D$3)),1,0),1))</f>
        <v>0</v>
      </c>
      <c r="AA151" s="24" t="n">
        <f aca="false">$AA150*(1+IF($Z151=1,N($G151),0))</f>
        <v>1.0035</v>
      </c>
      <c r="AB151" s="0" t="str">
        <f aca="false">IF($F151="","",IFERROR(INDEX(Cilësimet!$B$6:$B$10,MATCH($F151,Cilësimet!$A$6:$A$10,0)),""))</f>
        <v/>
      </c>
    </row>
    <row r="152" customFormat="false" ht="18.75" hidden="false" customHeight="true" outlineLevel="0" collapsed="false">
      <c r="A152" s="1"/>
      <c r="B152" s="17"/>
      <c r="C152" s="18"/>
      <c r="D152" s="18"/>
      <c r="E152" s="19"/>
      <c r="F152" s="20"/>
      <c r="G152" s="21" t="str">
        <f aca="false">IF($AB152="","",Cilësimet!$C$3*(INDEX(Cilësimet!$C$6:$C$10,MATCH($F152,Cilësimet!$A$6:$A$10,0))*N($E152)+INDEX(Cilësimet!$D$6:$D$10,MATCH($F152,Cilësimet!$A$6:$A$10,0))))</f>
        <v/>
      </c>
      <c r="H152" s="22" t="str">
        <f aca="false">IF($Z152=1,$AA152-1,"")</f>
        <v/>
      </c>
      <c r="I152" s="23"/>
      <c r="J152" s="1"/>
      <c r="K152" s="1"/>
      <c r="L152" s="1"/>
      <c r="M152" s="1"/>
      <c r="N152" s="1"/>
      <c r="O152" s="1"/>
      <c r="P152" s="1"/>
      <c r="Q152" s="1"/>
      <c r="R152" s="1"/>
      <c r="S152" s="1"/>
      <c r="Z152" s="24" t="n">
        <f aca="false">IF($AB152="",0,IF(ISNUMBER($B152),IF(AND($B152&gt;=N($B$3),OR(NOT(ISNUMBER($D$3)),$B152&lt;=$D$3)),1,0),1))</f>
        <v>0</v>
      </c>
      <c r="AA152" s="24" t="n">
        <f aca="false">$AA151*(1+IF($Z152=1,N($G152),0))</f>
        <v>1.0035</v>
      </c>
      <c r="AB152" s="0" t="str">
        <f aca="false">IF($F152="","",IFERROR(INDEX(Cilësimet!$B$6:$B$10,MATCH($F152,Cilësimet!$A$6:$A$10,0)),""))</f>
        <v/>
      </c>
    </row>
    <row r="153" customFormat="false" ht="18.75" hidden="false" customHeight="true" outlineLevel="0" collapsed="false">
      <c r="A153" s="1"/>
      <c r="B153" s="17"/>
      <c r="C153" s="18"/>
      <c r="D153" s="18"/>
      <c r="E153" s="19"/>
      <c r="F153" s="20"/>
      <c r="G153" s="21" t="str">
        <f aca="false">IF($AB153="","",Cilësimet!$C$3*(INDEX(Cilësimet!$C$6:$C$10,MATCH($F153,Cilësimet!$A$6:$A$10,0))*N($E153)+INDEX(Cilësimet!$D$6:$D$10,MATCH($F153,Cilësimet!$A$6:$A$10,0))))</f>
        <v/>
      </c>
      <c r="H153" s="22" t="str">
        <f aca="false">IF($Z153=1,$AA153-1,"")</f>
        <v/>
      </c>
      <c r="I153" s="23"/>
      <c r="J153" s="1"/>
      <c r="K153" s="1"/>
      <c r="L153" s="1"/>
      <c r="M153" s="1"/>
      <c r="N153" s="1"/>
      <c r="O153" s="1"/>
      <c r="P153" s="1"/>
      <c r="Q153" s="1"/>
      <c r="R153" s="1"/>
      <c r="S153" s="1"/>
      <c r="Z153" s="24" t="n">
        <f aca="false">IF($AB153="",0,IF(ISNUMBER($B153),IF(AND($B153&gt;=N($B$3),OR(NOT(ISNUMBER($D$3)),$B153&lt;=$D$3)),1,0),1))</f>
        <v>0</v>
      </c>
      <c r="AA153" s="24" t="n">
        <f aca="false">$AA152*(1+IF($Z153=1,N($G153),0))</f>
        <v>1.0035</v>
      </c>
      <c r="AB153" s="0" t="str">
        <f aca="false">IF($F153="","",IFERROR(INDEX(Cilësimet!$B$6:$B$10,MATCH($F153,Cilësimet!$A$6:$A$10,0)),""))</f>
        <v/>
      </c>
    </row>
    <row r="154" customFormat="false" ht="18.75" hidden="false" customHeight="true" outlineLevel="0" collapsed="false">
      <c r="A154" s="1"/>
      <c r="B154" s="17"/>
      <c r="C154" s="18"/>
      <c r="D154" s="18"/>
      <c r="E154" s="19"/>
      <c r="F154" s="20"/>
      <c r="G154" s="21" t="str">
        <f aca="false">IF($AB154="","",Cilësimet!$C$3*(INDEX(Cilësimet!$C$6:$C$10,MATCH($F154,Cilësimet!$A$6:$A$10,0))*N($E154)+INDEX(Cilësimet!$D$6:$D$10,MATCH($F154,Cilësimet!$A$6:$A$10,0))))</f>
        <v/>
      </c>
      <c r="H154" s="22" t="str">
        <f aca="false">IF($Z154=1,$AA154-1,"")</f>
        <v/>
      </c>
      <c r="I154" s="23"/>
      <c r="J154" s="1"/>
      <c r="K154" s="1"/>
      <c r="L154" s="1"/>
      <c r="M154" s="1"/>
      <c r="N154" s="1"/>
      <c r="O154" s="1"/>
      <c r="P154" s="1"/>
      <c r="Q154" s="1"/>
      <c r="R154" s="1"/>
      <c r="S154" s="1"/>
      <c r="Z154" s="24" t="n">
        <f aca="false">IF($AB154="",0,IF(ISNUMBER($B154),IF(AND($B154&gt;=N($B$3),OR(NOT(ISNUMBER($D$3)),$B154&lt;=$D$3)),1,0),1))</f>
        <v>0</v>
      </c>
      <c r="AA154" s="24" t="n">
        <f aca="false">$AA153*(1+IF($Z154=1,N($G154),0))</f>
        <v>1.0035</v>
      </c>
      <c r="AB154" s="0" t="str">
        <f aca="false">IF($F154="","",IFERROR(INDEX(Cilësimet!$B$6:$B$10,MATCH($F154,Cilësimet!$A$6:$A$10,0)),""))</f>
        <v/>
      </c>
    </row>
    <row r="155" customFormat="false" ht="18.75" hidden="false" customHeight="true" outlineLevel="0" collapsed="false">
      <c r="A155" s="1"/>
      <c r="B155" s="17"/>
      <c r="C155" s="18"/>
      <c r="D155" s="18"/>
      <c r="E155" s="19"/>
      <c r="F155" s="20"/>
      <c r="G155" s="21" t="str">
        <f aca="false">IF($AB155="","",Cilësimet!$C$3*(INDEX(Cilësimet!$C$6:$C$10,MATCH($F155,Cilësimet!$A$6:$A$10,0))*N($E155)+INDEX(Cilësimet!$D$6:$D$10,MATCH($F155,Cilësimet!$A$6:$A$10,0))))</f>
        <v/>
      </c>
      <c r="H155" s="22" t="str">
        <f aca="false">IF($Z155=1,$AA155-1,"")</f>
        <v/>
      </c>
      <c r="I155" s="23"/>
      <c r="J155" s="1"/>
      <c r="K155" s="1"/>
      <c r="L155" s="1"/>
      <c r="M155" s="1"/>
      <c r="N155" s="1"/>
      <c r="O155" s="1"/>
      <c r="P155" s="1"/>
      <c r="Q155" s="1"/>
      <c r="R155" s="1"/>
      <c r="S155" s="1"/>
      <c r="Z155" s="24" t="n">
        <f aca="false">IF($AB155="",0,IF(ISNUMBER($B155),IF(AND($B155&gt;=N($B$3),OR(NOT(ISNUMBER($D$3)),$B155&lt;=$D$3)),1,0),1))</f>
        <v>0</v>
      </c>
      <c r="AA155" s="24" t="n">
        <f aca="false">$AA154*(1+IF($Z155=1,N($G155),0))</f>
        <v>1.0035</v>
      </c>
      <c r="AB155" s="0" t="str">
        <f aca="false">IF($F155="","",IFERROR(INDEX(Cilësimet!$B$6:$B$10,MATCH($F155,Cilësimet!$A$6:$A$10,0)),""))</f>
        <v/>
      </c>
    </row>
    <row r="156" customFormat="false" ht="18.75" hidden="false" customHeight="true" outlineLevel="0" collapsed="false">
      <c r="A156" s="1"/>
      <c r="B156" s="17"/>
      <c r="C156" s="18"/>
      <c r="D156" s="18"/>
      <c r="E156" s="19"/>
      <c r="F156" s="20"/>
      <c r="G156" s="21" t="str">
        <f aca="false">IF($AB156="","",Cilësimet!$C$3*(INDEX(Cilësimet!$C$6:$C$10,MATCH($F156,Cilësimet!$A$6:$A$10,0))*N($E156)+INDEX(Cilësimet!$D$6:$D$10,MATCH($F156,Cilësimet!$A$6:$A$10,0))))</f>
        <v/>
      </c>
      <c r="H156" s="22" t="str">
        <f aca="false">IF($Z156=1,$AA156-1,"")</f>
        <v/>
      </c>
      <c r="I156" s="23"/>
      <c r="J156" s="1"/>
      <c r="K156" s="1"/>
      <c r="L156" s="1"/>
      <c r="M156" s="1"/>
      <c r="N156" s="1"/>
      <c r="O156" s="1"/>
      <c r="P156" s="1"/>
      <c r="Q156" s="1"/>
      <c r="R156" s="1"/>
      <c r="S156" s="1"/>
      <c r="Z156" s="24" t="n">
        <f aca="false">IF($AB156="",0,IF(ISNUMBER($B156),IF(AND($B156&gt;=N($B$3),OR(NOT(ISNUMBER($D$3)),$B156&lt;=$D$3)),1,0),1))</f>
        <v>0</v>
      </c>
      <c r="AA156" s="24" t="n">
        <f aca="false">$AA155*(1+IF($Z156=1,N($G156),0))</f>
        <v>1.0035</v>
      </c>
      <c r="AB156" s="0" t="str">
        <f aca="false">IF($F156="","",IFERROR(INDEX(Cilësimet!$B$6:$B$10,MATCH($F156,Cilësimet!$A$6:$A$10,0)),""))</f>
        <v/>
      </c>
    </row>
    <row r="157" customFormat="false" ht="18.75" hidden="false" customHeight="true" outlineLevel="0" collapsed="false">
      <c r="A157" s="1"/>
      <c r="B157" s="17"/>
      <c r="C157" s="18"/>
      <c r="D157" s="18"/>
      <c r="E157" s="19"/>
      <c r="F157" s="20"/>
      <c r="G157" s="21" t="str">
        <f aca="false">IF($AB157="","",Cilësimet!$C$3*(INDEX(Cilësimet!$C$6:$C$10,MATCH($F157,Cilësimet!$A$6:$A$10,0))*N($E157)+INDEX(Cilësimet!$D$6:$D$10,MATCH($F157,Cilësimet!$A$6:$A$10,0))))</f>
        <v/>
      </c>
      <c r="H157" s="22" t="str">
        <f aca="false">IF($Z157=1,$AA157-1,"")</f>
        <v/>
      </c>
      <c r="I157" s="23"/>
      <c r="J157" s="1"/>
      <c r="K157" s="1"/>
      <c r="L157" s="1"/>
      <c r="M157" s="1"/>
      <c r="N157" s="1"/>
      <c r="O157" s="1"/>
      <c r="P157" s="1"/>
      <c r="Q157" s="1"/>
      <c r="R157" s="1"/>
      <c r="S157" s="1"/>
      <c r="Z157" s="24" t="n">
        <f aca="false">IF($AB157="",0,IF(ISNUMBER($B157),IF(AND($B157&gt;=N($B$3),OR(NOT(ISNUMBER($D$3)),$B157&lt;=$D$3)),1,0),1))</f>
        <v>0</v>
      </c>
      <c r="AA157" s="24" t="n">
        <f aca="false">$AA156*(1+IF($Z157=1,N($G157),0))</f>
        <v>1.0035</v>
      </c>
      <c r="AB157" s="0" t="str">
        <f aca="false">IF($F157="","",IFERROR(INDEX(Cilësimet!$B$6:$B$10,MATCH($F157,Cilësimet!$A$6:$A$10,0)),""))</f>
        <v/>
      </c>
    </row>
    <row r="158" customFormat="false" ht="18.75" hidden="false" customHeight="true" outlineLevel="0" collapsed="false">
      <c r="A158" s="1"/>
      <c r="B158" s="17"/>
      <c r="C158" s="18"/>
      <c r="D158" s="18"/>
      <c r="E158" s="19"/>
      <c r="F158" s="20"/>
      <c r="G158" s="21" t="str">
        <f aca="false">IF($AB158="","",Cilësimet!$C$3*(INDEX(Cilësimet!$C$6:$C$10,MATCH($F158,Cilësimet!$A$6:$A$10,0))*N($E158)+INDEX(Cilësimet!$D$6:$D$10,MATCH($F158,Cilësimet!$A$6:$A$10,0))))</f>
        <v/>
      </c>
      <c r="H158" s="22" t="str">
        <f aca="false">IF($Z158=1,$AA158-1,"")</f>
        <v/>
      </c>
      <c r="I158" s="23"/>
      <c r="J158" s="1"/>
      <c r="K158" s="1"/>
      <c r="L158" s="1"/>
      <c r="M158" s="1"/>
      <c r="N158" s="1"/>
      <c r="O158" s="1"/>
      <c r="P158" s="1"/>
      <c r="Q158" s="1"/>
      <c r="R158" s="1"/>
      <c r="S158" s="1"/>
      <c r="Z158" s="24" t="n">
        <f aca="false">IF($AB158="",0,IF(ISNUMBER($B158),IF(AND($B158&gt;=N($B$3),OR(NOT(ISNUMBER($D$3)),$B158&lt;=$D$3)),1,0),1))</f>
        <v>0</v>
      </c>
      <c r="AA158" s="24" t="n">
        <f aca="false">$AA157*(1+IF($Z158=1,N($G158),0))</f>
        <v>1.0035</v>
      </c>
      <c r="AB158" s="0" t="str">
        <f aca="false">IF($F158="","",IFERROR(INDEX(Cilësimet!$B$6:$B$10,MATCH($F158,Cilësimet!$A$6:$A$10,0)),""))</f>
        <v/>
      </c>
    </row>
    <row r="159" customFormat="false" ht="18.75" hidden="false" customHeight="true" outlineLevel="0" collapsed="false">
      <c r="A159" s="1"/>
      <c r="B159" s="17"/>
      <c r="C159" s="18"/>
      <c r="D159" s="18"/>
      <c r="E159" s="19"/>
      <c r="F159" s="20"/>
      <c r="G159" s="21" t="str">
        <f aca="false">IF($AB159="","",Cilësimet!$C$3*(INDEX(Cilësimet!$C$6:$C$10,MATCH($F159,Cilësimet!$A$6:$A$10,0))*N($E159)+INDEX(Cilësimet!$D$6:$D$10,MATCH($F159,Cilësimet!$A$6:$A$10,0))))</f>
        <v/>
      </c>
      <c r="H159" s="22" t="str">
        <f aca="false">IF($Z159=1,$AA159-1,"")</f>
        <v/>
      </c>
      <c r="I159" s="23"/>
      <c r="J159" s="1"/>
      <c r="K159" s="1"/>
      <c r="L159" s="1"/>
      <c r="M159" s="1"/>
      <c r="N159" s="1"/>
      <c r="O159" s="1"/>
      <c r="P159" s="1"/>
      <c r="Q159" s="1"/>
      <c r="R159" s="1"/>
      <c r="S159" s="1"/>
      <c r="Z159" s="24" t="n">
        <f aca="false">IF($AB159="",0,IF(ISNUMBER($B159),IF(AND($B159&gt;=N($B$3),OR(NOT(ISNUMBER($D$3)),$B159&lt;=$D$3)),1,0),1))</f>
        <v>0</v>
      </c>
      <c r="AA159" s="24" t="n">
        <f aca="false">$AA158*(1+IF($Z159=1,N($G159),0))</f>
        <v>1.0035</v>
      </c>
      <c r="AB159" s="0" t="str">
        <f aca="false">IF($F159="","",IFERROR(INDEX(Cilësimet!$B$6:$B$10,MATCH($F159,Cilësimet!$A$6:$A$10,0)),""))</f>
        <v/>
      </c>
    </row>
    <row r="160" customFormat="false" ht="18.75" hidden="false" customHeight="true" outlineLevel="0" collapsed="false">
      <c r="A160" s="1"/>
      <c r="B160" s="17"/>
      <c r="C160" s="18"/>
      <c r="D160" s="18"/>
      <c r="E160" s="19"/>
      <c r="F160" s="20"/>
      <c r="G160" s="21" t="str">
        <f aca="false">IF($AB160="","",Cilësimet!$C$3*(INDEX(Cilësimet!$C$6:$C$10,MATCH($F160,Cilësimet!$A$6:$A$10,0))*N($E160)+INDEX(Cilësimet!$D$6:$D$10,MATCH($F160,Cilësimet!$A$6:$A$10,0))))</f>
        <v/>
      </c>
      <c r="H160" s="22" t="str">
        <f aca="false">IF($Z160=1,$AA160-1,"")</f>
        <v/>
      </c>
      <c r="I160" s="23"/>
      <c r="J160" s="1"/>
      <c r="K160" s="1"/>
      <c r="L160" s="1"/>
      <c r="M160" s="1"/>
      <c r="N160" s="1"/>
      <c r="O160" s="1"/>
      <c r="P160" s="1"/>
      <c r="Q160" s="1"/>
      <c r="R160" s="1"/>
      <c r="S160" s="1"/>
      <c r="Z160" s="24" t="n">
        <f aca="false">IF($AB160="",0,IF(ISNUMBER($B160),IF(AND($B160&gt;=N($B$3),OR(NOT(ISNUMBER($D$3)),$B160&lt;=$D$3)),1,0),1))</f>
        <v>0</v>
      </c>
      <c r="AA160" s="24" t="n">
        <f aca="false">$AA159*(1+IF($Z160=1,N($G160),0))</f>
        <v>1.0035</v>
      </c>
      <c r="AB160" s="0" t="str">
        <f aca="false">IF($F160="","",IFERROR(INDEX(Cilësimet!$B$6:$B$10,MATCH($F160,Cilësimet!$A$6:$A$10,0)),""))</f>
        <v/>
      </c>
    </row>
    <row r="161" customFormat="false" ht="18.75" hidden="false" customHeight="true" outlineLevel="0" collapsed="false">
      <c r="A161" s="1"/>
      <c r="B161" s="17"/>
      <c r="C161" s="18"/>
      <c r="D161" s="18"/>
      <c r="E161" s="19"/>
      <c r="F161" s="20"/>
      <c r="G161" s="21" t="str">
        <f aca="false">IF($AB161="","",Cilësimet!$C$3*(INDEX(Cilësimet!$C$6:$C$10,MATCH($F161,Cilësimet!$A$6:$A$10,0))*N($E161)+INDEX(Cilësimet!$D$6:$D$10,MATCH($F161,Cilësimet!$A$6:$A$10,0))))</f>
        <v/>
      </c>
      <c r="H161" s="22" t="str">
        <f aca="false">IF($Z161=1,$AA161-1,"")</f>
        <v/>
      </c>
      <c r="I161" s="23"/>
      <c r="J161" s="1"/>
      <c r="K161" s="1"/>
      <c r="L161" s="1"/>
      <c r="M161" s="1"/>
      <c r="N161" s="1"/>
      <c r="O161" s="1"/>
      <c r="P161" s="1"/>
      <c r="Q161" s="1"/>
      <c r="R161" s="1"/>
      <c r="S161" s="1"/>
      <c r="Z161" s="24" t="n">
        <f aca="false">IF($AB161="",0,IF(ISNUMBER($B161),IF(AND($B161&gt;=N($B$3),OR(NOT(ISNUMBER($D$3)),$B161&lt;=$D$3)),1,0),1))</f>
        <v>0</v>
      </c>
      <c r="AA161" s="24" t="n">
        <f aca="false">$AA160*(1+IF($Z161=1,N($G161),0))</f>
        <v>1.0035</v>
      </c>
      <c r="AB161" s="0" t="str">
        <f aca="false">IF($F161="","",IFERROR(INDEX(Cilësimet!$B$6:$B$10,MATCH($F161,Cilësimet!$A$6:$A$10,0)),""))</f>
        <v/>
      </c>
    </row>
    <row r="162" customFormat="false" ht="18.75" hidden="false" customHeight="true" outlineLevel="0" collapsed="false">
      <c r="A162" s="1"/>
      <c r="B162" s="17"/>
      <c r="C162" s="18"/>
      <c r="D162" s="18"/>
      <c r="E162" s="19"/>
      <c r="F162" s="20"/>
      <c r="G162" s="21" t="str">
        <f aca="false">IF($AB162="","",Cilësimet!$C$3*(INDEX(Cilësimet!$C$6:$C$10,MATCH($F162,Cilësimet!$A$6:$A$10,0))*N($E162)+INDEX(Cilësimet!$D$6:$D$10,MATCH($F162,Cilësimet!$A$6:$A$10,0))))</f>
        <v/>
      </c>
      <c r="H162" s="22" t="str">
        <f aca="false">IF($Z162=1,$AA162-1,"")</f>
        <v/>
      </c>
      <c r="I162" s="23"/>
      <c r="J162" s="1"/>
      <c r="K162" s="1"/>
      <c r="L162" s="1"/>
      <c r="M162" s="1"/>
      <c r="N162" s="1"/>
      <c r="O162" s="1"/>
      <c r="P162" s="1"/>
      <c r="Q162" s="1"/>
      <c r="R162" s="1"/>
      <c r="S162" s="1"/>
      <c r="Z162" s="24" t="n">
        <f aca="false">IF($AB162="",0,IF(ISNUMBER($B162),IF(AND($B162&gt;=N($B$3),OR(NOT(ISNUMBER($D$3)),$B162&lt;=$D$3)),1,0),1))</f>
        <v>0</v>
      </c>
      <c r="AA162" s="24" t="n">
        <f aca="false">$AA161*(1+IF($Z162=1,N($G162),0))</f>
        <v>1.0035</v>
      </c>
      <c r="AB162" s="0" t="str">
        <f aca="false">IF($F162="","",IFERROR(INDEX(Cilësimet!$B$6:$B$10,MATCH($F162,Cilësimet!$A$6:$A$10,0)),""))</f>
        <v/>
      </c>
    </row>
    <row r="163" customFormat="false" ht="18.75" hidden="false" customHeight="true" outlineLevel="0" collapsed="false">
      <c r="A163" s="1"/>
      <c r="B163" s="17"/>
      <c r="C163" s="18"/>
      <c r="D163" s="18"/>
      <c r="E163" s="19"/>
      <c r="F163" s="20"/>
      <c r="G163" s="21" t="str">
        <f aca="false">IF($AB163="","",Cilësimet!$C$3*(INDEX(Cilësimet!$C$6:$C$10,MATCH($F163,Cilësimet!$A$6:$A$10,0))*N($E163)+INDEX(Cilësimet!$D$6:$D$10,MATCH($F163,Cilësimet!$A$6:$A$10,0))))</f>
        <v/>
      </c>
      <c r="H163" s="22" t="str">
        <f aca="false">IF($Z163=1,$AA163-1,"")</f>
        <v/>
      </c>
      <c r="I163" s="23"/>
      <c r="J163" s="1"/>
      <c r="K163" s="1"/>
      <c r="L163" s="1"/>
      <c r="M163" s="1"/>
      <c r="N163" s="1"/>
      <c r="O163" s="1"/>
      <c r="P163" s="1"/>
      <c r="Q163" s="1"/>
      <c r="R163" s="1"/>
      <c r="S163" s="1"/>
      <c r="Z163" s="24" t="n">
        <f aca="false">IF($AB163="",0,IF(ISNUMBER($B163),IF(AND($B163&gt;=N($B$3),OR(NOT(ISNUMBER($D$3)),$B163&lt;=$D$3)),1,0),1))</f>
        <v>0</v>
      </c>
      <c r="AA163" s="24" t="n">
        <f aca="false">$AA162*(1+IF($Z163=1,N($G163),0))</f>
        <v>1.0035</v>
      </c>
      <c r="AB163" s="0" t="str">
        <f aca="false">IF($F163="","",IFERROR(INDEX(Cilësimet!$B$6:$B$10,MATCH($F163,Cilësimet!$A$6:$A$10,0)),""))</f>
        <v/>
      </c>
    </row>
    <row r="164" customFormat="false" ht="18.75" hidden="false" customHeight="true" outlineLevel="0" collapsed="false">
      <c r="A164" s="1"/>
      <c r="B164" s="17"/>
      <c r="C164" s="18"/>
      <c r="D164" s="18"/>
      <c r="E164" s="19"/>
      <c r="F164" s="20"/>
      <c r="G164" s="21" t="str">
        <f aca="false">IF($AB164="","",Cilësimet!$C$3*(INDEX(Cilësimet!$C$6:$C$10,MATCH($F164,Cilësimet!$A$6:$A$10,0))*N($E164)+INDEX(Cilësimet!$D$6:$D$10,MATCH($F164,Cilësimet!$A$6:$A$10,0))))</f>
        <v/>
      </c>
      <c r="H164" s="22" t="str">
        <f aca="false">IF($Z164=1,$AA164-1,"")</f>
        <v/>
      </c>
      <c r="I164" s="23"/>
      <c r="J164" s="1"/>
      <c r="K164" s="1"/>
      <c r="L164" s="1"/>
      <c r="M164" s="1"/>
      <c r="N164" s="1"/>
      <c r="O164" s="1"/>
      <c r="P164" s="1"/>
      <c r="Q164" s="1"/>
      <c r="R164" s="1"/>
      <c r="S164" s="1"/>
      <c r="Z164" s="24" t="n">
        <f aca="false">IF($AB164="",0,IF(ISNUMBER($B164),IF(AND($B164&gt;=N($B$3),OR(NOT(ISNUMBER($D$3)),$B164&lt;=$D$3)),1,0),1))</f>
        <v>0</v>
      </c>
      <c r="AA164" s="24" t="n">
        <f aca="false">$AA163*(1+IF($Z164=1,N($G164),0))</f>
        <v>1.0035</v>
      </c>
      <c r="AB164" s="0" t="str">
        <f aca="false">IF($F164="","",IFERROR(INDEX(Cilësimet!$B$6:$B$10,MATCH($F164,Cilësimet!$A$6:$A$10,0)),""))</f>
        <v/>
      </c>
    </row>
    <row r="165" customFormat="false" ht="18.75" hidden="false" customHeight="true" outlineLevel="0" collapsed="false">
      <c r="A165" s="1"/>
      <c r="B165" s="17"/>
      <c r="C165" s="18"/>
      <c r="D165" s="18"/>
      <c r="E165" s="19"/>
      <c r="F165" s="20"/>
      <c r="G165" s="21" t="str">
        <f aca="false">IF($AB165="","",Cilësimet!$C$3*(INDEX(Cilësimet!$C$6:$C$10,MATCH($F165,Cilësimet!$A$6:$A$10,0))*N($E165)+INDEX(Cilësimet!$D$6:$D$10,MATCH($F165,Cilësimet!$A$6:$A$10,0))))</f>
        <v/>
      </c>
      <c r="H165" s="22" t="str">
        <f aca="false">IF($Z165=1,$AA165-1,"")</f>
        <v/>
      </c>
      <c r="I165" s="23"/>
      <c r="J165" s="1"/>
      <c r="K165" s="1"/>
      <c r="L165" s="1"/>
      <c r="M165" s="1"/>
      <c r="N165" s="1"/>
      <c r="O165" s="1"/>
      <c r="P165" s="1"/>
      <c r="Q165" s="1"/>
      <c r="R165" s="1"/>
      <c r="S165" s="1"/>
      <c r="Z165" s="24" t="n">
        <f aca="false">IF($AB165="",0,IF(ISNUMBER($B165),IF(AND($B165&gt;=N($B$3),OR(NOT(ISNUMBER($D$3)),$B165&lt;=$D$3)),1,0),1))</f>
        <v>0</v>
      </c>
      <c r="AA165" s="24" t="n">
        <f aca="false">$AA164*(1+IF($Z165=1,N($G165),0))</f>
        <v>1.0035</v>
      </c>
      <c r="AB165" s="0" t="str">
        <f aca="false">IF($F165="","",IFERROR(INDEX(Cilësimet!$B$6:$B$10,MATCH($F165,Cilësimet!$A$6:$A$10,0)),""))</f>
        <v/>
      </c>
    </row>
    <row r="166" customFormat="false" ht="18.75" hidden="false" customHeight="true" outlineLevel="0" collapsed="false">
      <c r="A166" s="1"/>
      <c r="B166" s="17"/>
      <c r="C166" s="18"/>
      <c r="D166" s="18"/>
      <c r="E166" s="19"/>
      <c r="F166" s="20"/>
      <c r="G166" s="21" t="str">
        <f aca="false">IF($AB166="","",Cilësimet!$C$3*(INDEX(Cilësimet!$C$6:$C$10,MATCH($F166,Cilësimet!$A$6:$A$10,0))*N($E166)+INDEX(Cilësimet!$D$6:$D$10,MATCH($F166,Cilësimet!$A$6:$A$10,0))))</f>
        <v/>
      </c>
      <c r="H166" s="22" t="str">
        <f aca="false">IF($Z166=1,$AA166-1,"")</f>
        <v/>
      </c>
      <c r="I166" s="23"/>
      <c r="J166" s="1"/>
      <c r="K166" s="1"/>
      <c r="L166" s="1"/>
      <c r="M166" s="1"/>
      <c r="N166" s="1"/>
      <c r="O166" s="1"/>
      <c r="P166" s="1"/>
      <c r="Q166" s="1"/>
      <c r="R166" s="1"/>
      <c r="S166" s="1"/>
      <c r="Z166" s="24" t="n">
        <f aca="false">IF($AB166="",0,IF(ISNUMBER($B166),IF(AND($B166&gt;=N($B$3),OR(NOT(ISNUMBER($D$3)),$B166&lt;=$D$3)),1,0),1))</f>
        <v>0</v>
      </c>
      <c r="AA166" s="24" t="n">
        <f aca="false">$AA165*(1+IF($Z166=1,N($G166),0))</f>
        <v>1.0035</v>
      </c>
      <c r="AB166" s="0" t="str">
        <f aca="false">IF($F166="","",IFERROR(INDEX(Cilësimet!$B$6:$B$10,MATCH($F166,Cilësimet!$A$6:$A$10,0)),""))</f>
        <v/>
      </c>
    </row>
    <row r="167" customFormat="false" ht="18.75" hidden="false" customHeight="true" outlineLevel="0" collapsed="false">
      <c r="A167" s="1"/>
      <c r="B167" s="17"/>
      <c r="C167" s="18"/>
      <c r="D167" s="18"/>
      <c r="E167" s="19"/>
      <c r="F167" s="20"/>
      <c r="G167" s="21" t="str">
        <f aca="false">IF($AB167="","",Cilësimet!$C$3*(INDEX(Cilësimet!$C$6:$C$10,MATCH($F167,Cilësimet!$A$6:$A$10,0))*N($E167)+INDEX(Cilësimet!$D$6:$D$10,MATCH($F167,Cilësimet!$A$6:$A$10,0))))</f>
        <v/>
      </c>
      <c r="H167" s="22" t="str">
        <f aca="false">IF($Z167=1,$AA167-1,"")</f>
        <v/>
      </c>
      <c r="I167" s="23"/>
      <c r="J167" s="1"/>
      <c r="K167" s="1"/>
      <c r="L167" s="1"/>
      <c r="M167" s="1"/>
      <c r="N167" s="1"/>
      <c r="O167" s="1"/>
      <c r="P167" s="1"/>
      <c r="Q167" s="1"/>
      <c r="R167" s="1"/>
      <c r="S167" s="1"/>
      <c r="Z167" s="24" t="n">
        <f aca="false">IF($AB167="",0,IF(ISNUMBER($B167),IF(AND($B167&gt;=N($B$3),OR(NOT(ISNUMBER($D$3)),$B167&lt;=$D$3)),1,0),1))</f>
        <v>0</v>
      </c>
      <c r="AA167" s="24" t="n">
        <f aca="false">$AA166*(1+IF($Z167=1,N($G167),0))</f>
        <v>1.0035</v>
      </c>
      <c r="AB167" s="0" t="str">
        <f aca="false">IF($F167="","",IFERROR(INDEX(Cilësimet!$B$6:$B$10,MATCH($F167,Cilësimet!$A$6:$A$10,0)),""))</f>
        <v/>
      </c>
    </row>
    <row r="168" customFormat="false" ht="18.75" hidden="false" customHeight="true" outlineLevel="0" collapsed="false">
      <c r="A168" s="1"/>
      <c r="B168" s="17"/>
      <c r="C168" s="18"/>
      <c r="D168" s="18"/>
      <c r="E168" s="19"/>
      <c r="F168" s="20"/>
      <c r="G168" s="21" t="str">
        <f aca="false">IF($AB168="","",Cilësimet!$C$3*(INDEX(Cilësimet!$C$6:$C$10,MATCH($F168,Cilësimet!$A$6:$A$10,0))*N($E168)+INDEX(Cilësimet!$D$6:$D$10,MATCH($F168,Cilësimet!$A$6:$A$10,0))))</f>
        <v/>
      </c>
      <c r="H168" s="22" t="str">
        <f aca="false">IF($Z168=1,$AA168-1,"")</f>
        <v/>
      </c>
      <c r="I168" s="23"/>
      <c r="J168" s="1"/>
      <c r="K168" s="1"/>
      <c r="L168" s="1"/>
      <c r="M168" s="1"/>
      <c r="N168" s="1"/>
      <c r="O168" s="1"/>
      <c r="P168" s="1"/>
      <c r="Q168" s="1"/>
      <c r="R168" s="1"/>
      <c r="S168" s="1"/>
      <c r="Z168" s="24" t="n">
        <f aca="false">IF($AB168="",0,IF(ISNUMBER($B168),IF(AND($B168&gt;=N($B$3),OR(NOT(ISNUMBER($D$3)),$B168&lt;=$D$3)),1,0),1))</f>
        <v>0</v>
      </c>
      <c r="AA168" s="24" t="n">
        <f aca="false">$AA167*(1+IF($Z168=1,N($G168),0))</f>
        <v>1.0035</v>
      </c>
      <c r="AB168" s="0" t="str">
        <f aca="false">IF($F168="","",IFERROR(INDEX(Cilësimet!$B$6:$B$10,MATCH($F168,Cilësimet!$A$6:$A$10,0)),""))</f>
        <v/>
      </c>
    </row>
    <row r="169" customFormat="false" ht="18.75" hidden="false" customHeight="true" outlineLevel="0" collapsed="false">
      <c r="A169" s="1"/>
      <c r="B169" s="17"/>
      <c r="C169" s="18"/>
      <c r="D169" s="18"/>
      <c r="E169" s="19"/>
      <c r="F169" s="20"/>
      <c r="G169" s="21" t="str">
        <f aca="false">IF($AB169="","",Cilësimet!$C$3*(INDEX(Cilësimet!$C$6:$C$10,MATCH($F169,Cilësimet!$A$6:$A$10,0))*N($E169)+INDEX(Cilësimet!$D$6:$D$10,MATCH($F169,Cilësimet!$A$6:$A$10,0))))</f>
        <v/>
      </c>
      <c r="H169" s="22" t="str">
        <f aca="false">IF($Z169=1,$AA169-1,"")</f>
        <v/>
      </c>
      <c r="I169" s="23"/>
      <c r="J169" s="1"/>
      <c r="K169" s="1"/>
      <c r="L169" s="1"/>
      <c r="M169" s="1"/>
      <c r="N169" s="1"/>
      <c r="O169" s="1"/>
      <c r="P169" s="1"/>
      <c r="Q169" s="1"/>
      <c r="R169" s="1"/>
      <c r="S169" s="1"/>
      <c r="Z169" s="24" t="n">
        <f aca="false">IF($AB169="",0,IF(ISNUMBER($B169),IF(AND($B169&gt;=N($B$3),OR(NOT(ISNUMBER($D$3)),$B169&lt;=$D$3)),1,0),1))</f>
        <v>0</v>
      </c>
      <c r="AA169" s="24" t="n">
        <f aca="false">$AA168*(1+IF($Z169=1,N($G169),0))</f>
        <v>1.0035</v>
      </c>
      <c r="AB169" s="0" t="str">
        <f aca="false">IF($F169="","",IFERROR(INDEX(Cilësimet!$B$6:$B$10,MATCH($F169,Cilësimet!$A$6:$A$10,0)),""))</f>
        <v/>
      </c>
    </row>
    <row r="170" customFormat="false" ht="18.75" hidden="false" customHeight="true" outlineLevel="0" collapsed="false">
      <c r="A170" s="1"/>
      <c r="B170" s="17"/>
      <c r="C170" s="18"/>
      <c r="D170" s="18"/>
      <c r="E170" s="19"/>
      <c r="F170" s="20"/>
      <c r="G170" s="21" t="str">
        <f aca="false">IF($AB170="","",Cilësimet!$C$3*(INDEX(Cilësimet!$C$6:$C$10,MATCH($F170,Cilësimet!$A$6:$A$10,0))*N($E170)+INDEX(Cilësimet!$D$6:$D$10,MATCH($F170,Cilësimet!$A$6:$A$10,0))))</f>
        <v/>
      </c>
      <c r="H170" s="22" t="str">
        <f aca="false">IF($Z170=1,$AA170-1,"")</f>
        <v/>
      </c>
      <c r="I170" s="23"/>
      <c r="J170" s="1"/>
      <c r="K170" s="1"/>
      <c r="L170" s="1"/>
      <c r="M170" s="1"/>
      <c r="N170" s="1"/>
      <c r="O170" s="1"/>
      <c r="P170" s="1"/>
      <c r="Q170" s="1"/>
      <c r="R170" s="1"/>
      <c r="S170" s="1"/>
      <c r="Z170" s="24" t="n">
        <f aca="false">IF($AB170="",0,IF(ISNUMBER($B170),IF(AND($B170&gt;=N($B$3),OR(NOT(ISNUMBER($D$3)),$B170&lt;=$D$3)),1,0),1))</f>
        <v>0</v>
      </c>
      <c r="AA170" s="24" t="n">
        <f aca="false">$AA169*(1+IF($Z170=1,N($G170),0))</f>
        <v>1.0035</v>
      </c>
      <c r="AB170" s="0" t="str">
        <f aca="false">IF($F170="","",IFERROR(INDEX(Cilësimet!$B$6:$B$10,MATCH($F170,Cilësimet!$A$6:$A$10,0)),""))</f>
        <v/>
      </c>
    </row>
    <row r="171" customFormat="false" ht="18.75" hidden="false" customHeight="true" outlineLevel="0" collapsed="false">
      <c r="A171" s="1"/>
      <c r="B171" s="17"/>
      <c r="C171" s="18"/>
      <c r="D171" s="18"/>
      <c r="E171" s="19"/>
      <c r="F171" s="20"/>
      <c r="G171" s="21" t="str">
        <f aca="false">IF($AB171="","",Cilësimet!$C$3*(INDEX(Cilësimet!$C$6:$C$10,MATCH($F171,Cilësimet!$A$6:$A$10,0))*N($E171)+INDEX(Cilësimet!$D$6:$D$10,MATCH($F171,Cilësimet!$A$6:$A$10,0))))</f>
        <v/>
      </c>
      <c r="H171" s="22" t="str">
        <f aca="false">IF($Z171=1,$AA171-1,"")</f>
        <v/>
      </c>
      <c r="I171" s="23"/>
      <c r="J171" s="1"/>
      <c r="K171" s="1"/>
      <c r="L171" s="1"/>
      <c r="M171" s="1"/>
      <c r="N171" s="1"/>
      <c r="O171" s="1"/>
      <c r="P171" s="1"/>
      <c r="Q171" s="1"/>
      <c r="R171" s="1"/>
      <c r="S171" s="1"/>
      <c r="Z171" s="24" t="n">
        <f aca="false">IF($AB171="",0,IF(ISNUMBER($B171),IF(AND($B171&gt;=N($B$3),OR(NOT(ISNUMBER($D$3)),$B171&lt;=$D$3)),1,0),1))</f>
        <v>0</v>
      </c>
      <c r="AA171" s="24" t="n">
        <f aca="false">$AA170*(1+IF($Z171=1,N($G171),0))</f>
        <v>1.0035</v>
      </c>
      <c r="AB171" s="0" t="str">
        <f aca="false">IF($F171="","",IFERROR(INDEX(Cilësimet!$B$6:$B$10,MATCH($F171,Cilësimet!$A$6:$A$10,0)),""))</f>
        <v/>
      </c>
    </row>
    <row r="172" customFormat="false" ht="18.75" hidden="false" customHeight="true" outlineLevel="0" collapsed="false">
      <c r="A172" s="1"/>
      <c r="B172" s="17"/>
      <c r="C172" s="18"/>
      <c r="D172" s="18"/>
      <c r="E172" s="19"/>
      <c r="F172" s="20"/>
      <c r="G172" s="21" t="str">
        <f aca="false">IF($AB172="","",Cilësimet!$C$3*(INDEX(Cilësimet!$C$6:$C$10,MATCH($F172,Cilësimet!$A$6:$A$10,0))*N($E172)+INDEX(Cilësimet!$D$6:$D$10,MATCH($F172,Cilësimet!$A$6:$A$10,0))))</f>
        <v/>
      </c>
      <c r="H172" s="22" t="str">
        <f aca="false">IF($Z172=1,$AA172-1,"")</f>
        <v/>
      </c>
      <c r="I172" s="23"/>
      <c r="J172" s="1"/>
      <c r="K172" s="1"/>
      <c r="L172" s="1"/>
      <c r="M172" s="1"/>
      <c r="N172" s="1"/>
      <c r="O172" s="1"/>
      <c r="P172" s="1"/>
      <c r="Q172" s="1"/>
      <c r="R172" s="1"/>
      <c r="S172" s="1"/>
      <c r="Z172" s="24" t="n">
        <f aca="false">IF($AB172="",0,IF(ISNUMBER($B172),IF(AND($B172&gt;=N($B$3),OR(NOT(ISNUMBER($D$3)),$B172&lt;=$D$3)),1,0),1))</f>
        <v>0</v>
      </c>
      <c r="AA172" s="24" t="n">
        <f aca="false">$AA171*(1+IF($Z172=1,N($G172),0))</f>
        <v>1.0035</v>
      </c>
      <c r="AB172" s="0" t="str">
        <f aca="false">IF($F172="","",IFERROR(INDEX(Cilësimet!$B$6:$B$10,MATCH($F172,Cilësimet!$A$6:$A$10,0)),""))</f>
        <v/>
      </c>
    </row>
    <row r="173" customFormat="false" ht="18.75" hidden="false" customHeight="true" outlineLevel="0" collapsed="false">
      <c r="A173" s="1"/>
      <c r="B173" s="17"/>
      <c r="C173" s="18"/>
      <c r="D173" s="18"/>
      <c r="E173" s="19"/>
      <c r="F173" s="20"/>
      <c r="G173" s="21" t="str">
        <f aca="false">IF($AB173="","",Cilësimet!$C$3*(INDEX(Cilësimet!$C$6:$C$10,MATCH($F173,Cilësimet!$A$6:$A$10,0))*N($E173)+INDEX(Cilësimet!$D$6:$D$10,MATCH($F173,Cilësimet!$A$6:$A$10,0))))</f>
        <v/>
      </c>
      <c r="H173" s="22" t="str">
        <f aca="false">IF($Z173=1,$AA173-1,"")</f>
        <v/>
      </c>
      <c r="I173" s="23"/>
      <c r="J173" s="1"/>
      <c r="K173" s="1"/>
      <c r="L173" s="1"/>
      <c r="M173" s="1"/>
      <c r="N173" s="1"/>
      <c r="O173" s="1"/>
      <c r="P173" s="1"/>
      <c r="Q173" s="1"/>
      <c r="R173" s="1"/>
      <c r="S173" s="1"/>
      <c r="Z173" s="24" t="n">
        <f aca="false">IF($AB173="",0,IF(ISNUMBER($B173),IF(AND($B173&gt;=N($B$3),OR(NOT(ISNUMBER($D$3)),$B173&lt;=$D$3)),1,0),1))</f>
        <v>0</v>
      </c>
      <c r="AA173" s="24" t="n">
        <f aca="false">$AA172*(1+IF($Z173=1,N($G173),0))</f>
        <v>1.0035</v>
      </c>
      <c r="AB173" s="0" t="str">
        <f aca="false">IF($F173="","",IFERROR(INDEX(Cilësimet!$B$6:$B$10,MATCH($F173,Cilësimet!$A$6:$A$10,0)),""))</f>
        <v/>
      </c>
    </row>
    <row r="174" customFormat="false" ht="18.75" hidden="false" customHeight="true" outlineLevel="0" collapsed="false">
      <c r="A174" s="1"/>
      <c r="B174" s="17"/>
      <c r="C174" s="18"/>
      <c r="D174" s="18"/>
      <c r="E174" s="19"/>
      <c r="F174" s="20"/>
      <c r="G174" s="21" t="str">
        <f aca="false">IF($AB174="","",Cilësimet!$C$3*(INDEX(Cilësimet!$C$6:$C$10,MATCH($F174,Cilësimet!$A$6:$A$10,0))*N($E174)+INDEX(Cilësimet!$D$6:$D$10,MATCH($F174,Cilësimet!$A$6:$A$10,0))))</f>
        <v/>
      </c>
      <c r="H174" s="22" t="str">
        <f aca="false">IF($Z174=1,$AA174-1,"")</f>
        <v/>
      </c>
      <c r="I174" s="23"/>
      <c r="J174" s="1"/>
      <c r="K174" s="1"/>
      <c r="L174" s="1"/>
      <c r="M174" s="1"/>
      <c r="N174" s="1"/>
      <c r="O174" s="1"/>
      <c r="P174" s="1"/>
      <c r="Q174" s="1"/>
      <c r="R174" s="1"/>
      <c r="S174" s="1"/>
      <c r="Z174" s="24" t="n">
        <f aca="false">IF($AB174="",0,IF(ISNUMBER($B174),IF(AND($B174&gt;=N($B$3),OR(NOT(ISNUMBER($D$3)),$B174&lt;=$D$3)),1,0),1))</f>
        <v>0</v>
      </c>
      <c r="AA174" s="24" t="n">
        <f aca="false">$AA173*(1+IF($Z174=1,N($G174),0))</f>
        <v>1.0035</v>
      </c>
      <c r="AB174" s="0" t="str">
        <f aca="false">IF($F174="","",IFERROR(INDEX(Cilësimet!$B$6:$B$10,MATCH($F174,Cilësimet!$A$6:$A$10,0)),""))</f>
        <v/>
      </c>
    </row>
    <row r="175" customFormat="false" ht="18.75" hidden="false" customHeight="true" outlineLevel="0" collapsed="false">
      <c r="A175" s="1"/>
      <c r="B175" s="17"/>
      <c r="C175" s="18"/>
      <c r="D175" s="18"/>
      <c r="E175" s="19"/>
      <c r="F175" s="20"/>
      <c r="G175" s="21" t="str">
        <f aca="false">IF($AB175="","",Cilësimet!$C$3*(INDEX(Cilësimet!$C$6:$C$10,MATCH($F175,Cilësimet!$A$6:$A$10,0))*N($E175)+INDEX(Cilësimet!$D$6:$D$10,MATCH($F175,Cilësimet!$A$6:$A$10,0))))</f>
        <v/>
      </c>
      <c r="H175" s="22" t="str">
        <f aca="false">IF($Z175=1,$AA175-1,"")</f>
        <v/>
      </c>
      <c r="I175" s="23"/>
      <c r="J175" s="1"/>
      <c r="K175" s="1"/>
      <c r="L175" s="1"/>
      <c r="M175" s="1"/>
      <c r="N175" s="1"/>
      <c r="O175" s="1"/>
      <c r="P175" s="1"/>
      <c r="Q175" s="1"/>
      <c r="R175" s="1"/>
      <c r="S175" s="1"/>
      <c r="Z175" s="24" t="n">
        <f aca="false">IF($AB175="",0,IF(ISNUMBER($B175),IF(AND($B175&gt;=N($B$3),OR(NOT(ISNUMBER($D$3)),$B175&lt;=$D$3)),1,0),1))</f>
        <v>0</v>
      </c>
      <c r="AA175" s="24" t="n">
        <f aca="false">$AA174*(1+IF($Z175=1,N($G175),0))</f>
        <v>1.0035</v>
      </c>
      <c r="AB175" s="0" t="str">
        <f aca="false">IF($F175="","",IFERROR(INDEX(Cilësimet!$B$6:$B$10,MATCH($F175,Cilësimet!$A$6:$A$10,0)),""))</f>
        <v/>
      </c>
    </row>
    <row r="176" customFormat="false" ht="18.75" hidden="false" customHeight="true" outlineLevel="0" collapsed="false">
      <c r="A176" s="1"/>
      <c r="B176" s="17"/>
      <c r="C176" s="18"/>
      <c r="D176" s="18"/>
      <c r="E176" s="19"/>
      <c r="F176" s="20"/>
      <c r="G176" s="21" t="str">
        <f aca="false">IF($AB176="","",Cilësimet!$C$3*(INDEX(Cilësimet!$C$6:$C$10,MATCH($F176,Cilësimet!$A$6:$A$10,0))*N($E176)+INDEX(Cilësimet!$D$6:$D$10,MATCH($F176,Cilësimet!$A$6:$A$10,0))))</f>
        <v/>
      </c>
      <c r="H176" s="22" t="str">
        <f aca="false">IF($Z176=1,$AA176-1,"")</f>
        <v/>
      </c>
      <c r="I176" s="23"/>
      <c r="J176" s="1"/>
      <c r="K176" s="1"/>
      <c r="L176" s="1"/>
      <c r="M176" s="1"/>
      <c r="N176" s="1"/>
      <c r="O176" s="1"/>
      <c r="P176" s="1"/>
      <c r="Q176" s="1"/>
      <c r="R176" s="1"/>
      <c r="S176" s="1"/>
      <c r="Z176" s="24" t="n">
        <f aca="false">IF($AB176="",0,IF(ISNUMBER($B176),IF(AND($B176&gt;=N($B$3),OR(NOT(ISNUMBER($D$3)),$B176&lt;=$D$3)),1,0),1))</f>
        <v>0</v>
      </c>
      <c r="AA176" s="24" t="n">
        <f aca="false">$AA175*(1+IF($Z176=1,N($G176),0))</f>
        <v>1.0035</v>
      </c>
      <c r="AB176" s="0" t="str">
        <f aca="false">IF($F176="","",IFERROR(INDEX(Cilësimet!$B$6:$B$10,MATCH($F176,Cilësimet!$A$6:$A$10,0)),""))</f>
        <v/>
      </c>
    </row>
    <row r="177" customFormat="false" ht="18.75" hidden="false" customHeight="true" outlineLevel="0" collapsed="false">
      <c r="A177" s="1"/>
      <c r="B177" s="17"/>
      <c r="C177" s="18"/>
      <c r="D177" s="18"/>
      <c r="E177" s="19"/>
      <c r="F177" s="20"/>
      <c r="G177" s="21" t="str">
        <f aca="false">IF($AB177="","",Cilësimet!$C$3*(INDEX(Cilësimet!$C$6:$C$10,MATCH($F177,Cilësimet!$A$6:$A$10,0))*N($E177)+INDEX(Cilësimet!$D$6:$D$10,MATCH($F177,Cilësimet!$A$6:$A$10,0))))</f>
        <v/>
      </c>
      <c r="H177" s="22" t="str">
        <f aca="false">IF($Z177=1,$AA177-1,"")</f>
        <v/>
      </c>
      <c r="I177" s="23"/>
      <c r="J177" s="1"/>
      <c r="K177" s="1"/>
      <c r="L177" s="1"/>
      <c r="M177" s="1"/>
      <c r="N177" s="1"/>
      <c r="O177" s="1"/>
      <c r="P177" s="1"/>
      <c r="Q177" s="1"/>
      <c r="R177" s="1"/>
      <c r="S177" s="1"/>
      <c r="Z177" s="24" t="n">
        <f aca="false">IF($AB177="",0,IF(ISNUMBER($B177),IF(AND($B177&gt;=N($B$3),OR(NOT(ISNUMBER($D$3)),$B177&lt;=$D$3)),1,0),1))</f>
        <v>0</v>
      </c>
      <c r="AA177" s="24" t="n">
        <f aca="false">$AA176*(1+IF($Z177=1,N($G177),0))</f>
        <v>1.0035</v>
      </c>
      <c r="AB177" s="0" t="str">
        <f aca="false">IF($F177="","",IFERROR(INDEX(Cilësimet!$B$6:$B$10,MATCH($F177,Cilësimet!$A$6:$A$10,0)),""))</f>
        <v/>
      </c>
    </row>
    <row r="178" customFormat="false" ht="18.75" hidden="false" customHeight="true" outlineLevel="0" collapsed="false">
      <c r="A178" s="1"/>
      <c r="B178" s="17"/>
      <c r="C178" s="18"/>
      <c r="D178" s="18"/>
      <c r="E178" s="19"/>
      <c r="F178" s="20"/>
      <c r="G178" s="21" t="str">
        <f aca="false">IF($AB178="","",Cilësimet!$C$3*(INDEX(Cilësimet!$C$6:$C$10,MATCH($F178,Cilësimet!$A$6:$A$10,0))*N($E178)+INDEX(Cilësimet!$D$6:$D$10,MATCH($F178,Cilësimet!$A$6:$A$10,0))))</f>
        <v/>
      </c>
      <c r="H178" s="22" t="str">
        <f aca="false">IF($Z178=1,$AA178-1,"")</f>
        <v/>
      </c>
      <c r="I178" s="23"/>
      <c r="J178" s="1"/>
      <c r="K178" s="1"/>
      <c r="L178" s="1"/>
      <c r="M178" s="1"/>
      <c r="N178" s="1"/>
      <c r="O178" s="1"/>
      <c r="P178" s="1"/>
      <c r="Q178" s="1"/>
      <c r="R178" s="1"/>
      <c r="S178" s="1"/>
      <c r="Z178" s="24" t="n">
        <f aca="false">IF($AB178="",0,IF(ISNUMBER($B178),IF(AND($B178&gt;=N($B$3),OR(NOT(ISNUMBER($D$3)),$B178&lt;=$D$3)),1,0),1))</f>
        <v>0</v>
      </c>
      <c r="AA178" s="24" t="n">
        <f aca="false">$AA177*(1+IF($Z178=1,N($G178),0))</f>
        <v>1.0035</v>
      </c>
      <c r="AB178" s="0" t="str">
        <f aca="false">IF($F178="","",IFERROR(INDEX(Cilësimet!$B$6:$B$10,MATCH($F178,Cilësimet!$A$6:$A$10,0)),""))</f>
        <v/>
      </c>
    </row>
    <row r="179" customFormat="false" ht="18.75" hidden="false" customHeight="true" outlineLevel="0" collapsed="false">
      <c r="A179" s="1"/>
      <c r="B179" s="17"/>
      <c r="C179" s="18"/>
      <c r="D179" s="18"/>
      <c r="E179" s="19"/>
      <c r="F179" s="20"/>
      <c r="G179" s="21" t="str">
        <f aca="false">IF($AB179="","",Cilësimet!$C$3*(INDEX(Cilësimet!$C$6:$C$10,MATCH($F179,Cilësimet!$A$6:$A$10,0))*N($E179)+INDEX(Cilësimet!$D$6:$D$10,MATCH($F179,Cilësimet!$A$6:$A$10,0))))</f>
        <v/>
      </c>
      <c r="H179" s="22" t="str">
        <f aca="false">IF($Z179=1,$AA179-1,"")</f>
        <v/>
      </c>
      <c r="I179" s="23"/>
      <c r="J179" s="1"/>
      <c r="K179" s="1"/>
      <c r="L179" s="1"/>
      <c r="M179" s="1"/>
      <c r="N179" s="1"/>
      <c r="O179" s="1"/>
      <c r="P179" s="1"/>
      <c r="Q179" s="1"/>
      <c r="R179" s="1"/>
      <c r="S179" s="1"/>
      <c r="Z179" s="24" t="n">
        <f aca="false">IF($AB179="",0,IF(ISNUMBER($B179),IF(AND($B179&gt;=N($B$3),OR(NOT(ISNUMBER($D$3)),$B179&lt;=$D$3)),1,0),1))</f>
        <v>0</v>
      </c>
      <c r="AA179" s="24" t="n">
        <f aca="false">$AA178*(1+IF($Z179=1,N($G179),0))</f>
        <v>1.0035</v>
      </c>
      <c r="AB179" s="0" t="str">
        <f aca="false">IF($F179="","",IFERROR(INDEX(Cilësimet!$B$6:$B$10,MATCH($F179,Cilësimet!$A$6:$A$10,0)),""))</f>
        <v/>
      </c>
    </row>
    <row r="180" customFormat="false" ht="18.75" hidden="false" customHeight="true" outlineLevel="0" collapsed="false">
      <c r="A180" s="1"/>
      <c r="B180" s="17"/>
      <c r="C180" s="18"/>
      <c r="D180" s="18"/>
      <c r="E180" s="19"/>
      <c r="F180" s="20"/>
      <c r="G180" s="21" t="str">
        <f aca="false">IF($AB180="","",Cilësimet!$C$3*(INDEX(Cilësimet!$C$6:$C$10,MATCH($F180,Cilësimet!$A$6:$A$10,0))*N($E180)+INDEX(Cilësimet!$D$6:$D$10,MATCH($F180,Cilësimet!$A$6:$A$10,0))))</f>
        <v/>
      </c>
      <c r="H180" s="22" t="str">
        <f aca="false">IF($Z180=1,$AA180-1,"")</f>
        <v/>
      </c>
      <c r="I180" s="23"/>
      <c r="J180" s="1"/>
      <c r="K180" s="1"/>
      <c r="L180" s="1"/>
      <c r="M180" s="1"/>
      <c r="N180" s="1"/>
      <c r="O180" s="1"/>
      <c r="P180" s="1"/>
      <c r="Q180" s="1"/>
      <c r="R180" s="1"/>
      <c r="S180" s="1"/>
      <c r="Z180" s="24" t="n">
        <f aca="false">IF($AB180="",0,IF(ISNUMBER($B180),IF(AND($B180&gt;=N($B$3),OR(NOT(ISNUMBER($D$3)),$B180&lt;=$D$3)),1,0),1))</f>
        <v>0</v>
      </c>
      <c r="AA180" s="24" t="n">
        <f aca="false">$AA179*(1+IF($Z180=1,N($G180),0))</f>
        <v>1.0035</v>
      </c>
      <c r="AB180" s="0" t="str">
        <f aca="false">IF($F180="","",IFERROR(INDEX(Cilësimet!$B$6:$B$10,MATCH($F180,Cilësimet!$A$6:$A$10,0)),""))</f>
        <v/>
      </c>
    </row>
    <row r="181" customFormat="false" ht="18.75" hidden="false" customHeight="true" outlineLevel="0" collapsed="false">
      <c r="A181" s="1"/>
      <c r="B181" s="17"/>
      <c r="C181" s="18"/>
      <c r="D181" s="18"/>
      <c r="E181" s="19"/>
      <c r="F181" s="20"/>
      <c r="G181" s="21" t="str">
        <f aca="false">IF($AB181="","",Cilësimet!$C$3*(INDEX(Cilësimet!$C$6:$C$10,MATCH($F181,Cilësimet!$A$6:$A$10,0))*N($E181)+INDEX(Cilësimet!$D$6:$D$10,MATCH($F181,Cilësimet!$A$6:$A$10,0))))</f>
        <v/>
      </c>
      <c r="H181" s="22" t="str">
        <f aca="false">IF($Z181=1,$AA181-1,"")</f>
        <v/>
      </c>
      <c r="I181" s="23"/>
      <c r="J181" s="1"/>
      <c r="K181" s="1"/>
      <c r="L181" s="1"/>
      <c r="M181" s="1"/>
      <c r="N181" s="1"/>
      <c r="O181" s="1"/>
      <c r="P181" s="1"/>
      <c r="Q181" s="1"/>
      <c r="R181" s="1"/>
      <c r="S181" s="1"/>
      <c r="Z181" s="24" t="n">
        <f aca="false">IF($AB181="",0,IF(ISNUMBER($B181),IF(AND($B181&gt;=N($B$3),OR(NOT(ISNUMBER($D$3)),$B181&lt;=$D$3)),1,0),1))</f>
        <v>0</v>
      </c>
      <c r="AA181" s="24" t="n">
        <f aca="false">$AA180*(1+IF($Z181=1,N($G181),0))</f>
        <v>1.0035</v>
      </c>
      <c r="AB181" s="0" t="str">
        <f aca="false">IF($F181="","",IFERROR(INDEX(Cilësimet!$B$6:$B$10,MATCH($F181,Cilësimet!$A$6:$A$10,0)),""))</f>
        <v/>
      </c>
    </row>
    <row r="182" customFormat="false" ht="18.75" hidden="false" customHeight="true" outlineLevel="0" collapsed="false">
      <c r="A182" s="1"/>
      <c r="B182" s="17"/>
      <c r="C182" s="18"/>
      <c r="D182" s="18"/>
      <c r="E182" s="19"/>
      <c r="F182" s="20"/>
      <c r="G182" s="21" t="str">
        <f aca="false">IF($AB182="","",Cilësimet!$C$3*(INDEX(Cilësimet!$C$6:$C$10,MATCH($F182,Cilësimet!$A$6:$A$10,0))*N($E182)+INDEX(Cilësimet!$D$6:$D$10,MATCH($F182,Cilësimet!$A$6:$A$10,0))))</f>
        <v/>
      </c>
      <c r="H182" s="22" t="str">
        <f aca="false">IF($Z182=1,$AA182-1,"")</f>
        <v/>
      </c>
      <c r="I182" s="23"/>
      <c r="J182" s="1"/>
      <c r="K182" s="1"/>
      <c r="L182" s="1"/>
      <c r="M182" s="1"/>
      <c r="N182" s="1"/>
      <c r="O182" s="1"/>
      <c r="P182" s="1"/>
      <c r="Q182" s="1"/>
      <c r="R182" s="1"/>
      <c r="S182" s="1"/>
      <c r="Z182" s="24" t="n">
        <f aca="false">IF($AB182="",0,IF(ISNUMBER($B182),IF(AND($B182&gt;=N($B$3),OR(NOT(ISNUMBER($D$3)),$B182&lt;=$D$3)),1,0),1))</f>
        <v>0</v>
      </c>
      <c r="AA182" s="24" t="n">
        <f aca="false">$AA181*(1+IF($Z182=1,N($G182),0))</f>
        <v>1.0035</v>
      </c>
      <c r="AB182" s="0" t="str">
        <f aca="false">IF($F182="","",IFERROR(INDEX(Cilësimet!$B$6:$B$10,MATCH($F182,Cilësimet!$A$6:$A$10,0)),""))</f>
        <v/>
      </c>
    </row>
    <row r="183" customFormat="false" ht="18.75" hidden="false" customHeight="true" outlineLevel="0" collapsed="false">
      <c r="A183" s="1"/>
      <c r="B183" s="17"/>
      <c r="C183" s="18"/>
      <c r="D183" s="18"/>
      <c r="E183" s="19"/>
      <c r="F183" s="20"/>
      <c r="G183" s="21" t="str">
        <f aca="false">IF($AB183="","",Cilësimet!$C$3*(INDEX(Cilësimet!$C$6:$C$10,MATCH($F183,Cilësimet!$A$6:$A$10,0))*N($E183)+INDEX(Cilësimet!$D$6:$D$10,MATCH($F183,Cilësimet!$A$6:$A$10,0))))</f>
        <v/>
      </c>
      <c r="H183" s="22" t="str">
        <f aca="false">IF($Z183=1,$AA183-1,"")</f>
        <v/>
      </c>
      <c r="I183" s="23"/>
      <c r="J183" s="1"/>
      <c r="K183" s="1"/>
      <c r="L183" s="1"/>
      <c r="M183" s="1"/>
      <c r="N183" s="1"/>
      <c r="O183" s="1"/>
      <c r="P183" s="1"/>
      <c r="Q183" s="1"/>
      <c r="R183" s="1"/>
      <c r="S183" s="1"/>
      <c r="Z183" s="24" t="n">
        <f aca="false">IF($AB183="",0,IF(ISNUMBER($B183),IF(AND($B183&gt;=N($B$3),OR(NOT(ISNUMBER($D$3)),$B183&lt;=$D$3)),1,0),1))</f>
        <v>0</v>
      </c>
      <c r="AA183" s="24" t="n">
        <f aca="false">$AA182*(1+IF($Z183=1,N($G183),0))</f>
        <v>1.0035</v>
      </c>
      <c r="AB183" s="0" t="str">
        <f aca="false">IF($F183="","",IFERROR(INDEX(Cilësimet!$B$6:$B$10,MATCH($F183,Cilësimet!$A$6:$A$10,0)),""))</f>
        <v/>
      </c>
    </row>
    <row r="184" customFormat="false" ht="18.75" hidden="false" customHeight="true" outlineLevel="0" collapsed="false">
      <c r="A184" s="1"/>
      <c r="B184" s="17"/>
      <c r="C184" s="18"/>
      <c r="D184" s="18"/>
      <c r="E184" s="19"/>
      <c r="F184" s="20"/>
      <c r="G184" s="21" t="str">
        <f aca="false">IF($AB184="","",Cilësimet!$C$3*(INDEX(Cilësimet!$C$6:$C$10,MATCH($F184,Cilësimet!$A$6:$A$10,0))*N($E184)+INDEX(Cilësimet!$D$6:$D$10,MATCH($F184,Cilësimet!$A$6:$A$10,0))))</f>
        <v/>
      </c>
      <c r="H184" s="22" t="str">
        <f aca="false">IF($Z184=1,$AA184-1,"")</f>
        <v/>
      </c>
      <c r="I184" s="23"/>
      <c r="J184" s="1"/>
      <c r="K184" s="1"/>
      <c r="L184" s="1"/>
      <c r="M184" s="1"/>
      <c r="N184" s="1"/>
      <c r="O184" s="1"/>
      <c r="P184" s="1"/>
      <c r="Q184" s="1"/>
      <c r="R184" s="1"/>
      <c r="S184" s="1"/>
      <c r="Z184" s="24" t="n">
        <f aca="false">IF($AB184="",0,IF(ISNUMBER($B184),IF(AND($B184&gt;=N($B$3),OR(NOT(ISNUMBER($D$3)),$B184&lt;=$D$3)),1,0),1))</f>
        <v>0</v>
      </c>
      <c r="AA184" s="24" t="n">
        <f aca="false">$AA183*(1+IF($Z184=1,N($G184),0))</f>
        <v>1.0035</v>
      </c>
      <c r="AB184" s="0" t="str">
        <f aca="false">IF($F184="","",IFERROR(INDEX(Cilësimet!$B$6:$B$10,MATCH($F184,Cilësimet!$A$6:$A$10,0)),""))</f>
        <v/>
      </c>
    </row>
    <row r="185" customFormat="false" ht="18.75" hidden="false" customHeight="true" outlineLevel="0" collapsed="false">
      <c r="A185" s="1"/>
      <c r="B185" s="17"/>
      <c r="C185" s="18"/>
      <c r="D185" s="18"/>
      <c r="E185" s="19"/>
      <c r="F185" s="20"/>
      <c r="G185" s="21" t="str">
        <f aca="false">IF($AB185="","",Cilësimet!$C$3*(INDEX(Cilësimet!$C$6:$C$10,MATCH($F185,Cilësimet!$A$6:$A$10,0))*N($E185)+INDEX(Cilësimet!$D$6:$D$10,MATCH($F185,Cilësimet!$A$6:$A$10,0))))</f>
        <v/>
      </c>
      <c r="H185" s="22" t="str">
        <f aca="false">IF($Z185=1,$AA185-1,"")</f>
        <v/>
      </c>
      <c r="I185" s="23"/>
      <c r="J185" s="1"/>
      <c r="K185" s="1"/>
      <c r="L185" s="1"/>
      <c r="M185" s="1"/>
      <c r="N185" s="1"/>
      <c r="O185" s="1"/>
      <c r="P185" s="1"/>
      <c r="Q185" s="1"/>
      <c r="R185" s="1"/>
      <c r="S185" s="1"/>
      <c r="Z185" s="24" t="n">
        <f aca="false">IF($AB185="",0,IF(ISNUMBER($B185),IF(AND($B185&gt;=N($B$3),OR(NOT(ISNUMBER($D$3)),$B185&lt;=$D$3)),1,0),1))</f>
        <v>0</v>
      </c>
      <c r="AA185" s="24" t="n">
        <f aca="false">$AA184*(1+IF($Z185=1,N($G185),0))</f>
        <v>1.0035</v>
      </c>
      <c r="AB185" s="0" t="str">
        <f aca="false">IF($F185="","",IFERROR(INDEX(Cilësimet!$B$6:$B$10,MATCH($F185,Cilësimet!$A$6:$A$10,0)),""))</f>
        <v/>
      </c>
    </row>
    <row r="186" customFormat="false" ht="18.75" hidden="false" customHeight="true" outlineLevel="0" collapsed="false">
      <c r="A186" s="1"/>
      <c r="B186" s="17"/>
      <c r="C186" s="18"/>
      <c r="D186" s="18"/>
      <c r="E186" s="19"/>
      <c r="F186" s="20"/>
      <c r="G186" s="21" t="str">
        <f aca="false">IF($AB186="","",Cilësimet!$C$3*(INDEX(Cilësimet!$C$6:$C$10,MATCH($F186,Cilësimet!$A$6:$A$10,0))*N($E186)+INDEX(Cilësimet!$D$6:$D$10,MATCH($F186,Cilësimet!$A$6:$A$10,0))))</f>
        <v/>
      </c>
      <c r="H186" s="22" t="str">
        <f aca="false">IF($Z186=1,$AA186-1,"")</f>
        <v/>
      </c>
      <c r="I186" s="23"/>
      <c r="J186" s="1"/>
      <c r="K186" s="1"/>
      <c r="L186" s="1"/>
      <c r="M186" s="1"/>
      <c r="N186" s="1"/>
      <c r="O186" s="1"/>
      <c r="P186" s="1"/>
      <c r="Q186" s="1"/>
      <c r="R186" s="1"/>
      <c r="S186" s="1"/>
      <c r="Z186" s="24" t="n">
        <f aca="false">IF($AB186="",0,IF(ISNUMBER($B186),IF(AND($B186&gt;=N($B$3),OR(NOT(ISNUMBER($D$3)),$B186&lt;=$D$3)),1,0),1))</f>
        <v>0</v>
      </c>
      <c r="AA186" s="24" t="n">
        <f aca="false">$AA185*(1+IF($Z186=1,N($G186),0))</f>
        <v>1.0035</v>
      </c>
      <c r="AB186" s="0" t="str">
        <f aca="false">IF($F186="","",IFERROR(INDEX(Cilësimet!$B$6:$B$10,MATCH($F186,Cilësimet!$A$6:$A$10,0)),""))</f>
        <v/>
      </c>
    </row>
    <row r="187" customFormat="false" ht="18.75" hidden="false" customHeight="true" outlineLevel="0" collapsed="false">
      <c r="A187" s="1"/>
      <c r="B187" s="17"/>
      <c r="C187" s="18"/>
      <c r="D187" s="18"/>
      <c r="E187" s="19"/>
      <c r="F187" s="20"/>
      <c r="G187" s="21" t="str">
        <f aca="false">IF($AB187="","",Cilësimet!$C$3*(INDEX(Cilësimet!$C$6:$C$10,MATCH($F187,Cilësimet!$A$6:$A$10,0))*N($E187)+INDEX(Cilësimet!$D$6:$D$10,MATCH($F187,Cilësimet!$A$6:$A$10,0))))</f>
        <v/>
      </c>
      <c r="H187" s="22" t="str">
        <f aca="false">IF($Z187=1,$AA187-1,"")</f>
        <v/>
      </c>
      <c r="I187" s="23"/>
      <c r="J187" s="1"/>
      <c r="K187" s="1"/>
      <c r="L187" s="1"/>
      <c r="M187" s="1"/>
      <c r="N187" s="1"/>
      <c r="O187" s="1"/>
      <c r="P187" s="1"/>
      <c r="Q187" s="1"/>
      <c r="R187" s="1"/>
      <c r="S187" s="1"/>
      <c r="Z187" s="24" t="n">
        <f aca="false">IF($AB187="",0,IF(ISNUMBER($B187),IF(AND($B187&gt;=N($B$3),OR(NOT(ISNUMBER($D$3)),$B187&lt;=$D$3)),1,0),1))</f>
        <v>0</v>
      </c>
      <c r="AA187" s="24" t="n">
        <f aca="false">$AA186*(1+IF($Z187=1,N($G187),0))</f>
        <v>1.0035</v>
      </c>
      <c r="AB187" s="0" t="str">
        <f aca="false">IF($F187="","",IFERROR(INDEX(Cilësimet!$B$6:$B$10,MATCH($F187,Cilësimet!$A$6:$A$10,0)),""))</f>
        <v/>
      </c>
    </row>
    <row r="188" customFormat="false" ht="18.75" hidden="false" customHeight="true" outlineLevel="0" collapsed="false">
      <c r="A188" s="1"/>
      <c r="B188" s="17"/>
      <c r="C188" s="18"/>
      <c r="D188" s="18"/>
      <c r="E188" s="19"/>
      <c r="F188" s="20"/>
      <c r="G188" s="21" t="str">
        <f aca="false">IF($AB188="","",Cilësimet!$C$3*(INDEX(Cilësimet!$C$6:$C$10,MATCH($F188,Cilësimet!$A$6:$A$10,0))*N($E188)+INDEX(Cilësimet!$D$6:$D$10,MATCH($F188,Cilësimet!$A$6:$A$10,0))))</f>
        <v/>
      </c>
      <c r="H188" s="22" t="str">
        <f aca="false">IF($Z188=1,$AA188-1,"")</f>
        <v/>
      </c>
      <c r="I188" s="23"/>
      <c r="J188" s="1"/>
      <c r="K188" s="1"/>
      <c r="L188" s="1"/>
      <c r="M188" s="1"/>
      <c r="N188" s="1"/>
      <c r="O188" s="1"/>
      <c r="P188" s="1"/>
      <c r="Q188" s="1"/>
      <c r="R188" s="1"/>
      <c r="S188" s="1"/>
      <c r="Z188" s="24" t="n">
        <f aca="false">IF($AB188="",0,IF(ISNUMBER($B188),IF(AND($B188&gt;=N($B$3),OR(NOT(ISNUMBER($D$3)),$B188&lt;=$D$3)),1,0),1))</f>
        <v>0</v>
      </c>
      <c r="AA188" s="24" t="n">
        <f aca="false">$AA187*(1+IF($Z188=1,N($G188),0))</f>
        <v>1.0035</v>
      </c>
      <c r="AB188" s="0" t="str">
        <f aca="false">IF($F188="","",IFERROR(INDEX(Cilësimet!$B$6:$B$10,MATCH($F188,Cilësimet!$A$6:$A$10,0)),""))</f>
        <v/>
      </c>
    </row>
    <row r="189" customFormat="false" ht="18.75" hidden="false" customHeight="true" outlineLevel="0" collapsed="false">
      <c r="A189" s="1"/>
      <c r="B189" s="17"/>
      <c r="C189" s="18"/>
      <c r="D189" s="18"/>
      <c r="E189" s="19"/>
      <c r="F189" s="20"/>
      <c r="G189" s="21" t="str">
        <f aca="false">IF($AB189="","",Cilësimet!$C$3*(INDEX(Cilësimet!$C$6:$C$10,MATCH($F189,Cilësimet!$A$6:$A$10,0))*N($E189)+INDEX(Cilësimet!$D$6:$D$10,MATCH($F189,Cilësimet!$A$6:$A$10,0))))</f>
        <v/>
      </c>
      <c r="H189" s="22" t="str">
        <f aca="false">IF($Z189=1,$AA189-1,"")</f>
        <v/>
      </c>
      <c r="I189" s="23"/>
      <c r="J189" s="1"/>
      <c r="K189" s="1"/>
      <c r="L189" s="1"/>
      <c r="M189" s="1"/>
      <c r="N189" s="1"/>
      <c r="O189" s="1"/>
      <c r="P189" s="1"/>
      <c r="Q189" s="1"/>
      <c r="R189" s="1"/>
      <c r="S189" s="1"/>
      <c r="Z189" s="24" t="n">
        <f aca="false">IF($AB189="",0,IF(ISNUMBER($B189),IF(AND($B189&gt;=N($B$3),OR(NOT(ISNUMBER($D$3)),$B189&lt;=$D$3)),1,0),1))</f>
        <v>0</v>
      </c>
      <c r="AA189" s="24" t="n">
        <f aca="false">$AA188*(1+IF($Z189=1,N($G189),0))</f>
        <v>1.0035</v>
      </c>
      <c r="AB189" s="0" t="str">
        <f aca="false">IF($F189="","",IFERROR(INDEX(Cilësimet!$B$6:$B$10,MATCH($F189,Cilësimet!$A$6:$A$10,0)),""))</f>
        <v/>
      </c>
    </row>
    <row r="190" customFormat="false" ht="18.75" hidden="false" customHeight="true" outlineLevel="0" collapsed="false">
      <c r="A190" s="1"/>
      <c r="B190" s="17"/>
      <c r="C190" s="18"/>
      <c r="D190" s="18"/>
      <c r="E190" s="19"/>
      <c r="F190" s="20"/>
      <c r="G190" s="21" t="str">
        <f aca="false">IF($AB190="","",Cilësimet!$C$3*(INDEX(Cilësimet!$C$6:$C$10,MATCH($F190,Cilësimet!$A$6:$A$10,0))*N($E190)+INDEX(Cilësimet!$D$6:$D$10,MATCH($F190,Cilësimet!$A$6:$A$10,0))))</f>
        <v/>
      </c>
      <c r="H190" s="22" t="str">
        <f aca="false">IF($Z190=1,$AA190-1,"")</f>
        <v/>
      </c>
      <c r="I190" s="23"/>
      <c r="J190" s="1"/>
      <c r="K190" s="1"/>
      <c r="L190" s="1"/>
      <c r="M190" s="1"/>
      <c r="N190" s="1"/>
      <c r="O190" s="1"/>
      <c r="P190" s="1"/>
      <c r="Q190" s="1"/>
      <c r="R190" s="1"/>
      <c r="S190" s="1"/>
      <c r="Z190" s="24" t="n">
        <f aca="false">IF($AB190="",0,IF(ISNUMBER($B190),IF(AND($B190&gt;=N($B$3),OR(NOT(ISNUMBER($D$3)),$B190&lt;=$D$3)),1,0),1))</f>
        <v>0</v>
      </c>
      <c r="AA190" s="24" t="n">
        <f aca="false">$AA189*(1+IF($Z190=1,N($G190),0))</f>
        <v>1.0035</v>
      </c>
      <c r="AB190" s="0" t="str">
        <f aca="false">IF($F190="","",IFERROR(INDEX(Cilësimet!$B$6:$B$10,MATCH($F190,Cilësimet!$A$6:$A$10,0)),""))</f>
        <v/>
      </c>
    </row>
    <row r="191" customFormat="false" ht="18.75" hidden="false" customHeight="true" outlineLevel="0" collapsed="false">
      <c r="A191" s="1"/>
      <c r="B191" s="17"/>
      <c r="C191" s="18"/>
      <c r="D191" s="18"/>
      <c r="E191" s="19"/>
      <c r="F191" s="20"/>
      <c r="G191" s="21" t="str">
        <f aca="false">IF($AB191="","",Cilësimet!$C$3*(INDEX(Cilësimet!$C$6:$C$10,MATCH($F191,Cilësimet!$A$6:$A$10,0))*N($E191)+INDEX(Cilësimet!$D$6:$D$10,MATCH($F191,Cilësimet!$A$6:$A$10,0))))</f>
        <v/>
      </c>
      <c r="H191" s="22" t="str">
        <f aca="false">IF($Z191=1,$AA191-1,"")</f>
        <v/>
      </c>
      <c r="I191" s="23"/>
      <c r="J191" s="1"/>
      <c r="K191" s="1"/>
      <c r="L191" s="1"/>
      <c r="M191" s="1"/>
      <c r="N191" s="1"/>
      <c r="O191" s="1"/>
      <c r="P191" s="1"/>
      <c r="Q191" s="1"/>
      <c r="R191" s="1"/>
      <c r="S191" s="1"/>
      <c r="Z191" s="24" t="n">
        <f aca="false">IF($AB191="",0,IF(ISNUMBER($B191),IF(AND($B191&gt;=N($B$3),OR(NOT(ISNUMBER($D$3)),$B191&lt;=$D$3)),1,0),1))</f>
        <v>0</v>
      </c>
      <c r="AA191" s="24" t="n">
        <f aca="false">$AA190*(1+IF($Z191=1,N($G191),0))</f>
        <v>1.0035</v>
      </c>
      <c r="AB191" s="0" t="str">
        <f aca="false">IF($F191="","",IFERROR(INDEX(Cilësimet!$B$6:$B$10,MATCH($F191,Cilësimet!$A$6:$A$10,0)),""))</f>
        <v/>
      </c>
    </row>
    <row r="192" customFormat="false" ht="18.75" hidden="false" customHeight="true" outlineLevel="0" collapsed="false">
      <c r="A192" s="1"/>
      <c r="B192" s="17"/>
      <c r="C192" s="18"/>
      <c r="D192" s="18"/>
      <c r="E192" s="19"/>
      <c r="F192" s="20"/>
      <c r="G192" s="21" t="str">
        <f aca="false">IF($AB192="","",Cilësimet!$C$3*(INDEX(Cilësimet!$C$6:$C$10,MATCH($F192,Cilësimet!$A$6:$A$10,0))*N($E192)+INDEX(Cilësimet!$D$6:$D$10,MATCH($F192,Cilësimet!$A$6:$A$10,0))))</f>
        <v/>
      </c>
      <c r="H192" s="22" t="str">
        <f aca="false">IF($Z192=1,$AA192-1,"")</f>
        <v/>
      </c>
      <c r="I192" s="23"/>
      <c r="J192" s="1"/>
      <c r="K192" s="1"/>
      <c r="L192" s="1"/>
      <c r="M192" s="1"/>
      <c r="N192" s="1"/>
      <c r="O192" s="1"/>
      <c r="P192" s="1"/>
      <c r="Q192" s="1"/>
      <c r="R192" s="1"/>
      <c r="S192" s="1"/>
      <c r="Z192" s="24" t="n">
        <f aca="false">IF($AB192="",0,IF(ISNUMBER($B192),IF(AND($B192&gt;=N($B$3),OR(NOT(ISNUMBER($D$3)),$B192&lt;=$D$3)),1,0),1))</f>
        <v>0</v>
      </c>
      <c r="AA192" s="24" t="n">
        <f aca="false">$AA191*(1+IF($Z192=1,N($G192),0))</f>
        <v>1.0035</v>
      </c>
      <c r="AB192" s="0" t="str">
        <f aca="false">IF($F192="","",IFERROR(INDEX(Cilësimet!$B$6:$B$10,MATCH($F192,Cilësimet!$A$6:$A$10,0)),""))</f>
        <v/>
      </c>
    </row>
    <row r="193" customFormat="false" ht="18.75" hidden="false" customHeight="true" outlineLevel="0" collapsed="false">
      <c r="A193" s="1"/>
      <c r="B193" s="17"/>
      <c r="C193" s="18"/>
      <c r="D193" s="18"/>
      <c r="E193" s="19"/>
      <c r="F193" s="20"/>
      <c r="G193" s="21" t="str">
        <f aca="false">IF($AB193="","",Cilësimet!$C$3*(INDEX(Cilësimet!$C$6:$C$10,MATCH($F193,Cilësimet!$A$6:$A$10,0))*N($E193)+INDEX(Cilësimet!$D$6:$D$10,MATCH($F193,Cilësimet!$A$6:$A$10,0))))</f>
        <v/>
      </c>
      <c r="H193" s="22" t="str">
        <f aca="false">IF($Z193=1,$AA193-1,"")</f>
        <v/>
      </c>
      <c r="I193" s="23"/>
      <c r="J193" s="1"/>
      <c r="K193" s="1"/>
      <c r="L193" s="1"/>
      <c r="M193" s="1"/>
      <c r="N193" s="1"/>
      <c r="O193" s="1"/>
      <c r="P193" s="1"/>
      <c r="Q193" s="1"/>
      <c r="R193" s="1"/>
      <c r="S193" s="1"/>
      <c r="Z193" s="24" t="n">
        <f aca="false">IF($AB193="",0,IF(ISNUMBER($B193),IF(AND($B193&gt;=N($B$3),OR(NOT(ISNUMBER($D$3)),$B193&lt;=$D$3)),1,0),1))</f>
        <v>0</v>
      </c>
      <c r="AA193" s="24" t="n">
        <f aca="false">$AA192*(1+IF($Z193=1,N($G193),0))</f>
        <v>1.0035</v>
      </c>
      <c r="AB193" s="0" t="str">
        <f aca="false">IF($F193="","",IFERROR(INDEX(Cilësimet!$B$6:$B$10,MATCH($F193,Cilësimet!$A$6:$A$10,0)),""))</f>
        <v/>
      </c>
    </row>
    <row r="194" customFormat="false" ht="18.75" hidden="false" customHeight="true" outlineLevel="0" collapsed="false">
      <c r="A194" s="1"/>
      <c r="B194" s="17"/>
      <c r="C194" s="18"/>
      <c r="D194" s="18"/>
      <c r="E194" s="19"/>
      <c r="F194" s="20"/>
      <c r="G194" s="21" t="str">
        <f aca="false">IF($AB194="","",Cilësimet!$C$3*(INDEX(Cilësimet!$C$6:$C$10,MATCH($F194,Cilësimet!$A$6:$A$10,0))*N($E194)+INDEX(Cilësimet!$D$6:$D$10,MATCH($F194,Cilësimet!$A$6:$A$10,0))))</f>
        <v/>
      </c>
      <c r="H194" s="22" t="str">
        <f aca="false">IF($Z194=1,$AA194-1,"")</f>
        <v/>
      </c>
      <c r="I194" s="23"/>
      <c r="J194" s="1"/>
      <c r="K194" s="1"/>
      <c r="L194" s="1"/>
      <c r="M194" s="1"/>
      <c r="N194" s="1"/>
      <c r="O194" s="1"/>
      <c r="P194" s="1"/>
      <c r="Q194" s="1"/>
      <c r="R194" s="1"/>
      <c r="S194" s="1"/>
      <c r="Z194" s="24" t="n">
        <f aca="false">IF($AB194="",0,IF(ISNUMBER($B194),IF(AND($B194&gt;=N($B$3),OR(NOT(ISNUMBER($D$3)),$B194&lt;=$D$3)),1,0),1))</f>
        <v>0</v>
      </c>
      <c r="AA194" s="24" t="n">
        <f aca="false">$AA193*(1+IF($Z194=1,N($G194),0))</f>
        <v>1.0035</v>
      </c>
      <c r="AB194" s="0" t="str">
        <f aca="false">IF($F194="","",IFERROR(INDEX(Cilësimet!$B$6:$B$10,MATCH($F194,Cilësimet!$A$6:$A$10,0)),""))</f>
        <v/>
      </c>
    </row>
    <row r="195" customFormat="false" ht="18.75" hidden="false" customHeight="true" outlineLevel="0" collapsed="false">
      <c r="A195" s="1"/>
      <c r="B195" s="17"/>
      <c r="C195" s="18"/>
      <c r="D195" s="18"/>
      <c r="E195" s="19"/>
      <c r="F195" s="20"/>
      <c r="G195" s="21" t="str">
        <f aca="false">IF($AB195="","",Cilësimet!$C$3*(INDEX(Cilësimet!$C$6:$C$10,MATCH($F195,Cilësimet!$A$6:$A$10,0))*N($E195)+INDEX(Cilësimet!$D$6:$D$10,MATCH($F195,Cilësimet!$A$6:$A$10,0))))</f>
        <v/>
      </c>
      <c r="H195" s="22" t="str">
        <f aca="false">IF($Z195=1,$AA195-1,"")</f>
        <v/>
      </c>
      <c r="I195" s="23"/>
      <c r="J195" s="1"/>
      <c r="K195" s="1"/>
      <c r="L195" s="1"/>
      <c r="M195" s="1"/>
      <c r="N195" s="1"/>
      <c r="O195" s="1"/>
      <c r="P195" s="1"/>
      <c r="Q195" s="1"/>
      <c r="R195" s="1"/>
      <c r="S195" s="1"/>
      <c r="Z195" s="24" t="n">
        <f aca="false">IF($AB195="",0,IF(ISNUMBER($B195),IF(AND($B195&gt;=N($B$3),OR(NOT(ISNUMBER($D$3)),$B195&lt;=$D$3)),1,0),1))</f>
        <v>0</v>
      </c>
      <c r="AA195" s="24" t="n">
        <f aca="false">$AA194*(1+IF($Z195=1,N($G195),0))</f>
        <v>1.0035</v>
      </c>
      <c r="AB195" s="0" t="str">
        <f aca="false">IF($F195="","",IFERROR(INDEX(Cilësimet!$B$6:$B$10,MATCH($F195,Cilësimet!$A$6:$A$10,0)),""))</f>
        <v/>
      </c>
    </row>
    <row r="196" customFormat="false" ht="18.75" hidden="false" customHeight="true" outlineLevel="0" collapsed="false">
      <c r="A196" s="1"/>
      <c r="B196" s="17"/>
      <c r="C196" s="18"/>
      <c r="D196" s="18"/>
      <c r="E196" s="19"/>
      <c r="F196" s="20"/>
      <c r="G196" s="21" t="str">
        <f aca="false">IF($AB196="","",Cilësimet!$C$3*(INDEX(Cilësimet!$C$6:$C$10,MATCH($F196,Cilësimet!$A$6:$A$10,0))*N($E196)+INDEX(Cilësimet!$D$6:$D$10,MATCH($F196,Cilësimet!$A$6:$A$10,0))))</f>
        <v/>
      </c>
      <c r="H196" s="22" t="str">
        <f aca="false">IF($Z196=1,$AA196-1,"")</f>
        <v/>
      </c>
      <c r="I196" s="23"/>
      <c r="J196" s="1"/>
      <c r="K196" s="1"/>
      <c r="L196" s="1"/>
      <c r="M196" s="1"/>
      <c r="N196" s="1"/>
      <c r="O196" s="1"/>
      <c r="P196" s="1"/>
      <c r="Q196" s="1"/>
      <c r="R196" s="1"/>
      <c r="S196" s="1"/>
      <c r="Z196" s="24" t="n">
        <f aca="false">IF($AB196="",0,IF(ISNUMBER($B196),IF(AND($B196&gt;=N($B$3),OR(NOT(ISNUMBER($D$3)),$B196&lt;=$D$3)),1,0),1))</f>
        <v>0</v>
      </c>
      <c r="AA196" s="24" t="n">
        <f aca="false">$AA195*(1+IF($Z196=1,N($G196),0))</f>
        <v>1.0035</v>
      </c>
      <c r="AB196" s="0" t="str">
        <f aca="false">IF($F196="","",IFERROR(INDEX(Cilësimet!$B$6:$B$10,MATCH($F196,Cilësimet!$A$6:$A$10,0)),""))</f>
        <v/>
      </c>
    </row>
    <row r="197" customFormat="false" ht="18.75" hidden="false" customHeight="true" outlineLevel="0" collapsed="false">
      <c r="A197" s="1"/>
      <c r="B197" s="17"/>
      <c r="C197" s="18"/>
      <c r="D197" s="18"/>
      <c r="E197" s="19"/>
      <c r="F197" s="20"/>
      <c r="G197" s="21" t="str">
        <f aca="false">IF($AB197="","",Cilësimet!$C$3*(INDEX(Cilësimet!$C$6:$C$10,MATCH($F197,Cilësimet!$A$6:$A$10,0))*N($E197)+INDEX(Cilësimet!$D$6:$D$10,MATCH($F197,Cilësimet!$A$6:$A$10,0))))</f>
        <v/>
      </c>
      <c r="H197" s="22" t="str">
        <f aca="false">IF($Z197=1,$AA197-1,"")</f>
        <v/>
      </c>
      <c r="I197" s="23"/>
      <c r="J197" s="1"/>
      <c r="K197" s="1"/>
      <c r="L197" s="1"/>
      <c r="M197" s="1"/>
      <c r="N197" s="1"/>
      <c r="O197" s="1"/>
      <c r="P197" s="1"/>
      <c r="Q197" s="1"/>
      <c r="R197" s="1"/>
      <c r="S197" s="1"/>
      <c r="Z197" s="24" t="n">
        <f aca="false">IF($AB197="",0,IF(ISNUMBER($B197),IF(AND($B197&gt;=N($B$3),OR(NOT(ISNUMBER($D$3)),$B197&lt;=$D$3)),1,0),1))</f>
        <v>0</v>
      </c>
      <c r="AA197" s="24" t="n">
        <f aca="false">$AA196*(1+IF($Z197=1,N($G197),0))</f>
        <v>1.0035</v>
      </c>
      <c r="AB197" s="0" t="str">
        <f aca="false">IF($F197="","",IFERROR(INDEX(Cilësimet!$B$6:$B$10,MATCH($F197,Cilësimet!$A$6:$A$10,0)),""))</f>
        <v/>
      </c>
    </row>
    <row r="198" customFormat="false" ht="18.75" hidden="false" customHeight="true" outlineLevel="0" collapsed="false">
      <c r="A198" s="1"/>
      <c r="B198" s="17"/>
      <c r="C198" s="18"/>
      <c r="D198" s="18"/>
      <c r="E198" s="19"/>
      <c r="F198" s="20"/>
      <c r="G198" s="21" t="str">
        <f aca="false">IF($AB198="","",Cilësimet!$C$3*(INDEX(Cilësimet!$C$6:$C$10,MATCH($F198,Cilësimet!$A$6:$A$10,0))*N($E198)+INDEX(Cilësimet!$D$6:$D$10,MATCH($F198,Cilësimet!$A$6:$A$10,0))))</f>
        <v/>
      </c>
      <c r="H198" s="22" t="str">
        <f aca="false">IF($Z198=1,$AA198-1,"")</f>
        <v/>
      </c>
      <c r="I198" s="23"/>
      <c r="J198" s="1"/>
      <c r="K198" s="1"/>
      <c r="L198" s="1"/>
      <c r="M198" s="1"/>
      <c r="N198" s="1"/>
      <c r="O198" s="1"/>
      <c r="P198" s="1"/>
      <c r="Q198" s="1"/>
      <c r="R198" s="1"/>
      <c r="S198" s="1"/>
      <c r="Z198" s="24" t="n">
        <f aca="false">IF($AB198="",0,IF(ISNUMBER($B198),IF(AND($B198&gt;=N($B$3),OR(NOT(ISNUMBER($D$3)),$B198&lt;=$D$3)),1,0),1))</f>
        <v>0</v>
      </c>
      <c r="AA198" s="24" t="n">
        <f aca="false">$AA197*(1+IF($Z198=1,N($G198),0))</f>
        <v>1.0035</v>
      </c>
      <c r="AB198" s="0" t="str">
        <f aca="false">IF($F198="","",IFERROR(INDEX(Cilësimet!$B$6:$B$10,MATCH($F198,Cilësimet!$A$6:$A$10,0)),""))</f>
        <v/>
      </c>
    </row>
    <row r="199" customFormat="false" ht="18.75" hidden="false" customHeight="true" outlineLevel="0" collapsed="false">
      <c r="A199" s="1"/>
      <c r="B199" s="17"/>
      <c r="C199" s="18"/>
      <c r="D199" s="18"/>
      <c r="E199" s="19"/>
      <c r="F199" s="20"/>
      <c r="G199" s="21" t="str">
        <f aca="false">IF($AB199="","",Cilësimet!$C$3*(INDEX(Cilësimet!$C$6:$C$10,MATCH($F199,Cilësimet!$A$6:$A$10,0))*N($E199)+INDEX(Cilësimet!$D$6:$D$10,MATCH($F199,Cilësimet!$A$6:$A$10,0))))</f>
        <v/>
      </c>
      <c r="H199" s="22" t="str">
        <f aca="false">IF($Z199=1,$AA199-1,"")</f>
        <v/>
      </c>
      <c r="I199" s="23"/>
      <c r="J199" s="1"/>
      <c r="K199" s="1"/>
      <c r="L199" s="1"/>
      <c r="M199" s="1"/>
      <c r="N199" s="1"/>
      <c r="O199" s="1"/>
      <c r="P199" s="1"/>
      <c r="Q199" s="1"/>
      <c r="R199" s="1"/>
      <c r="S199" s="1"/>
      <c r="Z199" s="24" t="n">
        <f aca="false">IF($AB199="",0,IF(ISNUMBER($B199),IF(AND($B199&gt;=N($B$3),OR(NOT(ISNUMBER($D$3)),$B199&lt;=$D$3)),1,0),1))</f>
        <v>0</v>
      </c>
      <c r="AA199" s="24" t="n">
        <f aca="false">$AA198*(1+IF($Z199=1,N($G199),0))</f>
        <v>1.0035</v>
      </c>
      <c r="AB199" s="0" t="str">
        <f aca="false">IF($F199="","",IFERROR(INDEX(Cilësimet!$B$6:$B$10,MATCH($F199,Cilësimet!$A$6:$A$10,0)),""))</f>
        <v/>
      </c>
    </row>
    <row r="200" customFormat="false" ht="18.75" hidden="false" customHeight="true" outlineLevel="0" collapsed="false">
      <c r="A200" s="1"/>
      <c r="B200" s="17"/>
      <c r="C200" s="18"/>
      <c r="D200" s="18"/>
      <c r="E200" s="19"/>
      <c r="F200" s="20"/>
      <c r="G200" s="21" t="str">
        <f aca="false">IF($AB200="","",Cilësimet!$C$3*(INDEX(Cilësimet!$C$6:$C$10,MATCH($F200,Cilësimet!$A$6:$A$10,0))*N($E200)+INDEX(Cilësimet!$D$6:$D$10,MATCH($F200,Cilësimet!$A$6:$A$10,0))))</f>
        <v/>
      </c>
      <c r="H200" s="22" t="str">
        <f aca="false">IF($Z200=1,$AA200-1,"")</f>
        <v/>
      </c>
      <c r="I200" s="23"/>
      <c r="J200" s="1"/>
      <c r="K200" s="1"/>
      <c r="L200" s="1"/>
      <c r="M200" s="1"/>
      <c r="N200" s="1"/>
      <c r="O200" s="1"/>
      <c r="P200" s="1"/>
      <c r="Q200" s="1"/>
      <c r="R200" s="1"/>
      <c r="S200" s="1"/>
      <c r="Z200" s="24" t="n">
        <f aca="false">IF($AB200="",0,IF(ISNUMBER($B200),IF(AND($B200&gt;=N($B$3),OR(NOT(ISNUMBER($D$3)),$B200&lt;=$D$3)),1,0),1))</f>
        <v>0</v>
      </c>
      <c r="AA200" s="24" t="n">
        <f aca="false">$AA199*(1+IF($Z200=1,N($G200),0))</f>
        <v>1.0035</v>
      </c>
      <c r="AB200" s="0" t="str">
        <f aca="false">IF($F200="","",IFERROR(INDEX(Cilësimet!$B$6:$B$10,MATCH($F200,Cilësimet!$A$6:$A$10,0)),""))</f>
        <v/>
      </c>
    </row>
    <row r="201" customFormat="false" ht="18.75" hidden="false" customHeight="true" outlineLevel="0" collapsed="false">
      <c r="A201" s="1"/>
      <c r="B201" s="17"/>
      <c r="C201" s="18"/>
      <c r="D201" s="18"/>
      <c r="E201" s="19"/>
      <c r="F201" s="20"/>
      <c r="G201" s="21" t="str">
        <f aca="false">IF($AB201="","",Cilësimet!$C$3*(INDEX(Cilësimet!$C$6:$C$10,MATCH($F201,Cilësimet!$A$6:$A$10,0))*N($E201)+INDEX(Cilësimet!$D$6:$D$10,MATCH($F201,Cilësimet!$A$6:$A$10,0))))</f>
        <v/>
      </c>
      <c r="H201" s="22" t="str">
        <f aca="false">IF($Z201=1,$AA201-1,"")</f>
        <v/>
      </c>
      <c r="I201" s="23"/>
      <c r="J201" s="1"/>
      <c r="K201" s="1"/>
      <c r="L201" s="1"/>
      <c r="M201" s="1"/>
      <c r="N201" s="1"/>
      <c r="O201" s="1"/>
      <c r="P201" s="1"/>
      <c r="Q201" s="1"/>
      <c r="R201" s="1"/>
      <c r="S201" s="1"/>
      <c r="Z201" s="24" t="n">
        <f aca="false">IF($AB201="",0,IF(ISNUMBER($B201),IF(AND($B201&gt;=N($B$3),OR(NOT(ISNUMBER($D$3)),$B201&lt;=$D$3)),1,0),1))</f>
        <v>0</v>
      </c>
      <c r="AA201" s="24" t="n">
        <f aca="false">$AA200*(1+IF($Z201=1,N($G201),0))</f>
        <v>1.0035</v>
      </c>
      <c r="AB201" s="0" t="str">
        <f aca="false">IF($F201="","",IFERROR(INDEX(Cilësimet!$B$6:$B$10,MATCH($F201,Cilësimet!$A$6:$A$10,0)),""))</f>
        <v/>
      </c>
    </row>
    <row r="202" customFormat="false" ht="18.75" hidden="false" customHeight="true" outlineLevel="0" collapsed="false">
      <c r="A202" s="1"/>
      <c r="B202" s="17"/>
      <c r="C202" s="18"/>
      <c r="D202" s="18"/>
      <c r="E202" s="19"/>
      <c r="F202" s="20"/>
      <c r="G202" s="21" t="str">
        <f aca="false">IF($AB202="","",Cilësimet!$C$3*(INDEX(Cilësimet!$C$6:$C$10,MATCH($F202,Cilësimet!$A$6:$A$10,0))*N($E202)+INDEX(Cilësimet!$D$6:$D$10,MATCH($F202,Cilësimet!$A$6:$A$10,0))))</f>
        <v/>
      </c>
      <c r="H202" s="22" t="str">
        <f aca="false">IF($Z202=1,$AA202-1,"")</f>
        <v/>
      </c>
      <c r="I202" s="23"/>
      <c r="J202" s="1"/>
      <c r="K202" s="1"/>
      <c r="L202" s="1"/>
      <c r="M202" s="1"/>
      <c r="N202" s="1"/>
      <c r="O202" s="1"/>
      <c r="P202" s="1"/>
      <c r="Q202" s="1"/>
      <c r="R202" s="1"/>
      <c r="S202" s="1"/>
      <c r="Z202" s="24" t="n">
        <f aca="false">IF($AB202="",0,IF(ISNUMBER($B202),IF(AND($B202&gt;=N($B$3),OR(NOT(ISNUMBER($D$3)),$B202&lt;=$D$3)),1,0),1))</f>
        <v>0</v>
      </c>
      <c r="AA202" s="24" t="n">
        <f aca="false">$AA201*(1+IF($Z202=1,N($G202),0))</f>
        <v>1.0035</v>
      </c>
      <c r="AB202" s="0" t="str">
        <f aca="false">IF($F202="","",IFERROR(INDEX(Cilësimet!$B$6:$B$10,MATCH($F202,Cilësimet!$A$6:$A$10,0)),""))</f>
        <v/>
      </c>
    </row>
    <row r="203" customFormat="false" ht="18.75" hidden="false" customHeight="true" outlineLevel="0" collapsed="false">
      <c r="A203" s="1"/>
      <c r="B203" s="17"/>
      <c r="C203" s="18"/>
      <c r="D203" s="18"/>
      <c r="E203" s="19"/>
      <c r="F203" s="20"/>
      <c r="G203" s="21" t="str">
        <f aca="false">IF($AB203="","",Cilësimet!$C$3*(INDEX(Cilësimet!$C$6:$C$10,MATCH($F203,Cilësimet!$A$6:$A$10,0))*N($E203)+INDEX(Cilësimet!$D$6:$D$10,MATCH($F203,Cilësimet!$A$6:$A$10,0))))</f>
        <v/>
      </c>
      <c r="H203" s="22" t="str">
        <f aca="false">IF($Z203=1,$AA203-1,"")</f>
        <v/>
      </c>
      <c r="I203" s="23"/>
      <c r="J203" s="1"/>
      <c r="K203" s="1"/>
      <c r="L203" s="1"/>
      <c r="M203" s="1"/>
      <c r="N203" s="1"/>
      <c r="O203" s="1"/>
      <c r="P203" s="1"/>
      <c r="Q203" s="1"/>
      <c r="R203" s="1"/>
      <c r="S203" s="1"/>
      <c r="Z203" s="24" t="n">
        <f aca="false">IF($AB203="",0,IF(ISNUMBER($B203),IF(AND($B203&gt;=N($B$3),OR(NOT(ISNUMBER($D$3)),$B203&lt;=$D$3)),1,0),1))</f>
        <v>0</v>
      </c>
      <c r="AA203" s="24" t="n">
        <f aca="false">$AA202*(1+IF($Z203=1,N($G203),0))</f>
        <v>1.0035</v>
      </c>
      <c r="AB203" s="0" t="str">
        <f aca="false">IF($F203="","",IFERROR(INDEX(Cilësimet!$B$6:$B$10,MATCH($F203,Cilësimet!$A$6:$A$10,0)),""))</f>
        <v/>
      </c>
    </row>
    <row r="204" customFormat="false" ht="18.75" hidden="false" customHeight="true" outlineLevel="0" collapsed="false">
      <c r="A204" s="1"/>
      <c r="B204" s="17"/>
      <c r="C204" s="18"/>
      <c r="D204" s="18"/>
      <c r="E204" s="19"/>
      <c r="F204" s="20"/>
      <c r="G204" s="21" t="str">
        <f aca="false">IF($AB204="","",Cilësimet!$C$3*(INDEX(Cilësimet!$C$6:$C$10,MATCH($F204,Cilësimet!$A$6:$A$10,0))*N($E204)+INDEX(Cilësimet!$D$6:$D$10,MATCH($F204,Cilësimet!$A$6:$A$10,0))))</f>
        <v/>
      </c>
      <c r="H204" s="22" t="str">
        <f aca="false">IF($Z204=1,$AA204-1,"")</f>
        <v/>
      </c>
      <c r="I204" s="23"/>
      <c r="J204" s="1"/>
      <c r="K204" s="1"/>
      <c r="L204" s="1"/>
      <c r="M204" s="1"/>
      <c r="N204" s="1"/>
      <c r="O204" s="1"/>
      <c r="P204" s="1"/>
      <c r="Q204" s="1"/>
      <c r="R204" s="1"/>
      <c r="S204" s="1"/>
      <c r="Z204" s="24" t="n">
        <f aca="false">IF($AB204="",0,IF(ISNUMBER($B204),IF(AND($B204&gt;=N($B$3),OR(NOT(ISNUMBER($D$3)),$B204&lt;=$D$3)),1,0),1))</f>
        <v>0</v>
      </c>
      <c r="AA204" s="24" t="n">
        <f aca="false">$AA203*(1+IF($Z204=1,N($G204),0))</f>
        <v>1.0035</v>
      </c>
      <c r="AB204" s="0" t="str">
        <f aca="false">IF($F204="","",IFERROR(INDEX(Cilësimet!$B$6:$B$10,MATCH($F204,Cilësimet!$A$6:$A$10,0)),""))</f>
        <v/>
      </c>
    </row>
    <row r="205" customFormat="false" ht="18.75" hidden="false" customHeight="true" outlineLevel="0" collapsed="false">
      <c r="A205" s="1"/>
      <c r="B205" s="17"/>
      <c r="C205" s="18"/>
      <c r="D205" s="18"/>
      <c r="E205" s="19"/>
      <c r="F205" s="20"/>
      <c r="G205" s="21" t="str">
        <f aca="false">IF($AB205="","",Cilësimet!$C$3*(INDEX(Cilësimet!$C$6:$C$10,MATCH($F205,Cilësimet!$A$6:$A$10,0))*N($E205)+INDEX(Cilësimet!$D$6:$D$10,MATCH($F205,Cilësimet!$A$6:$A$10,0))))</f>
        <v/>
      </c>
      <c r="H205" s="22" t="str">
        <f aca="false">IF($Z205=1,$AA205-1,"")</f>
        <v/>
      </c>
      <c r="I205" s="23"/>
      <c r="J205" s="1"/>
      <c r="K205" s="1"/>
      <c r="L205" s="1"/>
      <c r="M205" s="1"/>
      <c r="N205" s="1"/>
      <c r="O205" s="1"/>
      <c r="P205" s="1"/>
      <c r="Q205" s="1"/>
      <c r="R205" s="1"/>
      <c r="S205" s="1"/>
      <c r="Z205" s="24" t="n">
        <f aca="false">IF($AB205="",0,IF(ISNUMBER($B205),IF(AND($B205&gt;=N($B$3),OR(NOT(ISNUMBER($D$3)),$B205&lt;=$D$3)),1,0),1))</f>
        <v>0</v>
      </c>
      <c r="AA205" s="24" t="n">
        <f aca="false">$AA204*(1+IF($Z205=1,N($G205),0))</f>
        <v>1.0035</v>
      </c>
      <c r="AB205" s="0" t="str">
        <f aca="false">IF($F205="","",IFERROR(INDEX(Cilësimet!$B$6:$B$10,MATCH($F205,Cilësimet!$A$6:$A$10,0)),""))</f>
        <v/>
      </c>
    </row>
    <row r="206" customFormat="false" ht="18.75" hidden="false" customHeight="true" outlineLevel="0" collapsed="false">
      <c r="A206" s="1"/>
      <c r="B206" s="17"/>
      <c r="C206" s="18"/>
      <c r="D206" s="18"/>
      <c r="E206" s="19"/>
      <c r="F206" s="20"/>
      <c r="G206" s="21" t="str">
        <f aca="false">IF($AB206="","",Cilësimet!$C$3*(INDEX(Cilësimet!$C$6:$C$10,MATCH($F206,Cilësimet!$A$6:$A$10,0))*N($E206)+INDEX(Cilësimet!$D$6:$D$10,MATCH($F206,Cilësimet!$A$6:$A$10,0))))</f>
        <v/>
      </c>
      <c r="H206" s="22" t="str">
        <f aca="false">IF($Z206=1,$AA206-1,"")</f>
        <v/>
      </c>
      <c r="I206" s="23"/>
      <c r="J206" s="1"/>
      <c r="K206" s="1"/>
      <c r="L206" s="1"/>
      <c r="M206" s="1"/>
      <c r="N206" s="1"/>
      <c r="O206" s="1"/>
      <c r="P206" s="1"/>
      <c r="Q206" s="1"/>
      <c r="R206" s="1"/>
      <c r="S206" s="1"/>
      <c r="Z206" s="24" t="n">
        <f aca="false">IF($AB206="",0,IF(ISNUMBER($B206),IF(AND($B206&gt;=N($B$3),OR(NOT(ISNUMBER($D$3)),$B206&lt;=$D$3)),1,0),1))</f>
        <v>0</v>
      </c>
      <c r="AA206" s="24" t="n">
        <f aca="false">$AA205*(1+IF($Z206=1,N($G206),0))</f>
        <v>1.0035</v>
      </c>
      <c r="AB206" s="0" t="str">
        <f aca="false">IF($F206="","",IFERROR(INDEX(Cilësimet!$B$6:$B$10,MATCH($F206,Cilësimet!$A$6:$A$10,0)),""))</f>
        <v/>
      </c>
    </row>
    <row r="207" customFormat="false" ht="18.75" hidden="false" customHeight="true" outlineLevel="0" collapsed="false">
      <c r="A207" s="1"/>
      <c r="B207" s="17"/>
      <c r="C207" s="18"/>
      <c r="D207" s="18"/>
      <c r="E207" s="19"/>
      <c r="F207" s="20"/>
      <c r="G207" s="21" t="str">
        <f aca="false">IF($AB207="","",Cilësimet!$C$3*(INDEX(Cilësimet!$C$6:$C$10,MATCH($F207,Cilësimet!$A$6:$A$10,0))*N($E207)+INDEX(Cilësimet!$D$6:$D$10,MATCH($F207,Cilësimet!$A$6:$A$10,0))))</f>
        <v/>
      </c>
      <c r="H207" s="22" t="str">
        <f aca="false">IF($Z207=1,$AA207-1,"")</f>
        <v/>
      </c>
      <c r="I207" s="23"/>
      <c r="J207" s="1"/>
      <c r="K207" s="1"/>
      <c r="L207" s="1"/>
      <c r="M207" s="1"/>
      <c r="N207" s="1"/>
      <c r="O207" s="1"/>
      <c r="P207" s="1"/>
      <c r="Q207" s="1"/>
      <c r="R207" s="1"/>
      <c r="S207" s="1"/>
      <c r="Z207" s="24" t="n">
        <f aca="false">IF($AB207="",0,IF(ISNUMBER($B207),IF(AND($B207&gt;=N($B$3),OR(NOT(ISNUMBER($D$3)),$B207&lt;=$D$3)),1,0),1))</f>
        <v>0</v>
      </c>
      <c r="AA207" s="24" t="n">
        <f aca="false">$AA206*(1+IF($Z207=1,N($G207),0))</f>
        <v>1.0035</v>
      </c>
      <c r="AB207" s="0" t="str">
        <f aca="false">IF($F207="","",IFERROR(INDEX(Cilësimet!$B$6:$B$10,MATCH($F207,Cilësimet!$A$6:$A$10,0)),""))</f>
        <v/>
      </c>
    </row>
    <row r="208" customFormat="false" ht="18.75" hidden="false" customHeight="true" outlineLevel="0" collapsed="false">
      <c r="A208" s="1"/>
      <c r="B208" s="17"/>
      <c r="C208" s="18"/>
      <c r="D208" s="18"/>
      <c r="E208" s="19"/>
      <c r="F208" s="20"/>
      <c r="G208" s="21" t="str">
        <f aca="false">IF($AB208="","",Cilësimet!$C$3*(INDEX(Cilësimet!$C$6:$C$10,MATCH($F208,Cilësimet!$A$6:$A$10,0))*N($E208)+INDEX(Cilësimet!$D$6:$D$10,MATCH($F208,Cilësimet!$A$6:$A$10,0))))</f>
        <v/>
      </c>
      <c r="H208" s="22" t="str">
        <f aca="false">IF($Z208=1,$AA208-1,"")</f>
        <v/>
      </c>
      <c r="I208" s="23"/>
      <c r="J208" s="1"/>
      <c r="K208" s="1"/>
      <c r="L208" s="1"/>
      <c r="M208" s="1"/>
      <c r="N208" s="1"/>
      <c r="O208" s="1"/>
      <c r="P208" s="1"/>
      <c r="Q208" s="1"/>
      <c r="R208" s="1"/>
      <c r="S208" s="1"/>
      <c r="Z208" s="24" t="n">
        <f aca="false">IF($AB208="",0,IF(ISNUMBER($B208),IF(AND($B208&gt;=N($B$3),OR(NOT(ISNUMBER($D$3)),$B208&lt;=$D$3)),1,0),1))</f>
        <v>0</v>
      </c>
      <c r="AA208" s="24" t="n">
        <f aca="false">$AA207*(1+IF($Z208=1,N($G208),0))</f>
        <v>1.0035</v>
      </c>
      <c r="AB208" s="0" t="str">
        <f aca="false">IF($F208="","",IFERROR(INDEX(Cilësimet!$B$6:$B$10,MATCH($F208,Cilësimet!$A$6:$A$10,0)),""))</f>
        <v/>
      </c>
    </row>
    <row r="209" customFormat="false" ht="18.75" hidden="false" customHeight="true" outlineLevel="0" collapsed="false">
      <c r="A209" s="1"/>
      <c r="B209" s="17"/>
      <c r="C209" s="18"/>
      <c r="D209" s="18"/>
      <c r="E209" s="19"/>
      <c r="F209" s="20"/>
      <c r="G209" s="21" t="str">
        <f aca="false">IF($AB209="","",Cilësimet!$C$3*(INDEX(Cilësimet!$C$6:$C$10,MATCH($F209,Cilësimet!$A$6:$A$10,0))*N($E209)+INDEX(Cilësimet!$D$6:$D$10,MATCH($F209,Cilësimet!$A$6:$A$10,0))))</f>
        <v/>
      </c>
      <c r="H209" s="22" t="str">
        <f aca="false">IF($Z209=1,$AA209-1,"")</f>
        <v/>
      </c>
      <c r="I209" s="23"/>
      <c r="J209" s="1"/>
      <c r="K209" s="1"/>
      <c r="L209" s="1"/>
      <c r="M209" s="1"/>
      <c r="N209" s="1"/>
      <c r="O209" s="1"/>
      <c r="P209" s="1"/>
      <c r="Q209" s="1"/>
      <c r="R209" s="1"/>
      <c r="S209" s="1"/>
      <c r="Z209" s="24" t="n">
        <f aca="false">IF($AB209="",0,IF(ISNUMBER($B209),IF(AND($B209&gt;=N($B$3),OR(NOT(ISNUMBER($D$3)),$B209&lt;=$D$3)),1,0),1))</f>
        <v>0</v>
      </c>
      <c r="AA209" s="24" t="n">
        <f aca="false">$AA208*(1+IF($Z209=1,N($G209),0))</f>
        <v>1.0035</v>
      </c>
      <c r="AB209" s="0" t="str">
        <f aca="false">IF($F209="","",IFERROR(INDEX(Cilësimet!$B$6:$B$10,MATCH($F209,Cilësimet!$A$6:$A$10,0)),""))</f>
        <v/>
      </c>
    </row>
    <row r="210" customFormat="false" ht="18.75" hidden="false" customHeight="true" outlineLevel="0" collapsed="false">
      <c r="A210" s="1"/>
      <c r="B210" s="17"/>
      <c r="C210" s="18"/>
      <c r="D210" s="18"/>
      <c r="E210" s="19"/>
      <c r="F210" s="20"/>
      <c r="G210" s="21" t="str">
        <f aca="false">IF($AB210="","",Cilësimet!$C$3*(INDEX(Cilësimet!$C$6:$C$10,MATCH($F210,Cilësimet!$A$6:$A$10,0))*N($E210)+INDEX(Cilësimet!$D$6:$D$10,MATCH($F210,Cilësimet!$A$6:$A$10,0))))</f>
        <v/>
      </c>
      <c r="H210" s="22" t="str">
        <f aca="false">IF($Z210=1,$AA210-1,"")</f>
        <v/>
      </c>
      <c r="I210" s="23"/>
      <c r="J210" s="1"/>
      <c r="K210" s="1"/>
      <c r="L210" s="1"/>
      <c r="M210" s="1"/>
      <c r="N210" s="1"/>
      <c r="O210" s="1"/>
      <c r="P210" s="1"/>
      <c r="Q210" s="1"/>
      <c r="R210" s="1"/>
      <c r="S210" s="1"/>
      <c r="Z210" s="24" t="n">
        <f aca="false">IF($AB210="",0,IF(ISNUMBER($B210),IF(AND($B210&gt;=N($B$3),OR(NOT(ISNUMBER($D$3)),$B210&lt;=$D$3)),1,0),1))</f>
        <v>0</v>
      </c>
      <c r="AA210" s="24" t="n">
        <f aca="false">$AA209*(1+IF($Z210=1,N($G210),0))</f>
        <v>1.0035</v>
      </c>
      <c r="AB210" s="0" t="str">
        <f aca="false">IF($F210="","",IFERROR(INDEX(Cilësimet!$B$6:$B$10,MATCH($F210,Cilësimet!$A$6:$A$10,0)),""))</f>
        <v/>
      </c>
    </row>
    <row r="211" customFormat="false" ht="18.75" hidden="false" customHeight="true" outlineLevel="0" collapsed="false">
      <c r="A211" s="1"/>
      <c r="B211" s="17"/>
      <c r="C211" s="18"/>
      <c r="D211" s="18"/>
      <c r="E211" s="19"/>
      <c r="F211" s="20"/>
      <c r="G211" s="21" t="str">
        <f aca="false">IF($AB211="","",Cilësimet!$C$3*(INDEX(Cilësimet!$C$6:$C$10,MATCH($F211,Cilësimet!$A$6:$A$10,0))*N($E211)+INDEX(Cilësimet!$D$6:$D$10,MATCH($F211,Cilësimet!$A$6:$A$10,0))))</f>
        <v/>
      </c>
      <c r="H211" s="22" t="str">
        <f aca="false">IF($Z211=1,$AA211-1,"")</f>
        <v/>
      </c>
      <c r="I211" s="23"/>
      <c r="J211" s="1"/>
      <c r="K211" s="1"/>
      <c r="L211" s="1"/>
      <c r="M211" s="1"/>
      <c r="N211" s="1"/>
      <c r="O211" s="1"/>
      <c r="P211" s="1"/>
      <c r="Q211" s="1"/>
      <c r="R211" s="1"/>
      <c r="S211" s="1"/>
      <c r="Z211" s="24" t="n">
        <f aca="false">IF($AB211="",0,IF(ISNUMBER($B211),IF(AND($B211&gt;=N($B$3),OR(NOT(ISNUMBER($D$3)),$B211&lt;=$D$3)),1,0),1))</f>
        <v>0</v>
      </c>
      <c r="AA211" s="24" t="n">
        <f aca="false">$AA210*(1+IF($Z211=1,N($G211),0))</f>
        <v>1.0035</v>
      </c>
      <c r="AB211" s="0" t="str">
        <f aca="false">IF($F211="","",IFERROR(INDEX(Cilësimet!$B$6:$B$10,MATCH($F211,Cilësimet!$A$6:$A$10,0)),""))</f>
        <v/>
      </c>
    </row>
    <row r="212" customFormat="false" ht="18.75" hidden="false" customHeight="true" outlineLevel="0" collapsed="false">
      <c r="A212" s="1"/>
      <c r="B212" s="17"/>
      <c r="C212" s="18"/>
      <c r="D212" s="18"/>
      <c r="E212" s="19"/>
      <c r="F212" s="20"/>
      <c r="G212" s="21" t="str">
        <f aca="false">IF($AB212="","",Cilësimet!$C$3*(INDEX(Cilësimet!$C$6:$C$10,MATCH($F212,Cilësimet!$A$6:$A$10,0))*N($E212)+INDEX(Cilësimet!$D$6:$D$10,MATCH($F212,Cilësimet!$A$6:$A$10,0))))</f>
        <v/>
      </c>
      <c r="H212" s="22" t="str">
        <f aca="false">IF($Z212=1,$AA212-1,"")</f>
        <v/>
      </c>
      <c r="I212" s="23"/>
      <c r="J212" s="1"/>
      <c r="K212" s="1"/>
      <c r="L212" s="1"/>
      <c r="M212" s="1"/>
      <c r="N212" s="1"/>
      <c r="O212" s="1"/>
      <c r="P212" s="1"/>
      <c r="Q212" s="1"/>
      <c r="R212" s="1"/>
      <c r="S212" s="1"/>
      <c r="Z212" s="24" t="n">
        <f aca="false">IF($AB212="",0,IF(ISNUMBER($B212),IF(AND($B212&gt;=N($B$3),OR(NOT(ISNUMBER($D$3)),$B212&lt;=$D$3)),1,0),1))</f>
        <v>0</v>
      </c>
      <c r="AA212" s="24" t="n">
        <f aca="false">$AA211*(1+IF($Z212=1,N($G212),0))</f>
        <v>1.0035</v>
      </c>
      <c r="AB212" s="0" t="str">
        <f aca="false">IF($F212="","",IFERROR(INDEX(Cilësimet!$B$6:$B$10,MATCH($F212,Cilësimet!$A$6:$A$10,0)),""))</f>
        <v/>
      </c>
    </row>
    <row r="213" customFormat="false" ht="18.75" hidden="false" customHeight="true" outlineLevel="0" collapsed="false">
      <c r="A213" s="1"/>
      <c r="B213" s="17"/>
      <c r="C213" s="18"/>
      <c r="D213" s="18"/>
      <c r="E213" s="19"/>
      <c r="F213" s="20"/>
      <c r="G213" s="21" t="str">
        <f aca="false">IF($AB213="","",Cilësimet!$C$3*(INDEX(Cilësimet!$C$6:$C$10,MATCH($F213,Cilësimet!$A$6:$A$10,0))*N($E213)+INDEX(Cilësimet!$D$6:$D$10,MATCH($F213,Cilësimet!$A$6:$A$10,0))))</f>
        <v/>
      </c>
      <c r="H213" s="22" t="str">
        <f aca="false">IF($Z213=1,$AA213-1,"")</f>
        <v/>
      </c>
      <c r="I213" s="23"/>
      <c r="J213" s="1"/>
      <c r="K213" s="1"/>
      <c r="L213" s="1"/>
      <c r="M213" s="1"/>
      <c r="N213" s="1"/>
      <c r="O213" s="1"/>
      <c r="P213" s="1"/>
      <c r="Q213" s="1"/>
      <c r="R213" s="1"/>
      <c r="S213" s="1"/>
      <c r="Z213" s="24" t="n">
        <f aca="false">IF($AB213="",0,IF(ISNUMBER($B213),IF(AND($B213&gt;=N($B$3),OR(NOT(ISNUMBER($D$3)),$B213&lt;=$D$3)),1,0),1))</f>
        <v>0</v>
      </c>
      <c r="AA213" s="24" t="n">
        <f aca="false">$AA212*(1+IF($Z213=1,N($G213),0))</f>
        <v>1.0035</v>
      </c>
      <c r="AB213" s="0" t="str">
        <f aca="false">IF($F213="","",IFERROR(INDEX(Cilësimet!$B$6:$B$10,MATCH($F213,Cilësimet!$A$6:$A$10,0)),""))</f>
        <v/>
      </c>
    </row>
    <row r="214" customFormat="false" ht="18.75" hidden="false" customHeight="true" outlineLevel="0" collapsed="false">
      <c r="A214" s="1"/>
      <c r="B214" s="17"/>
      <c r="C214" s="18"/>
      <c r="D214" s="18"/>
      <c r="E214" s="19"/>
      <c r="F214" s="20"/>
      <c r="G214" s="21" t="str">
        <f aca="false">IF($AB214="","",Cilësimet!$C$3*(INDEX(Cilësimet!$C$6:$C$10,MATCH($F214,Cilësimet!$A$6:$A$10,0))*N($E214)+INDEX(Cilësimet!$D$6:$D$10,MATCH($F214,Cilësimet!$A$6:$A$10,0))))</f>
        <v/>
      </c>
      <c r="H214" s="22" t="str">
        <f aca="false">IF($Z214=1,$AA214-1,"")</f>
        <v/>
      </c>
      <c r="I214" s="23"/>
      <c r="J214" s="1"/>
      <c r="K214" s="1"/>
      <c r="L214" s="1"/>
      <c r="M214" s="1"/>
      <c r="N214" s="1"/>
      <c r="O214" s="1"/>
      <c r="P214" s="1"/>
      <c r="Q214" s="1"/>
      <c r="R214" s="1"/>
      <c r="S214" s="1"/>
      <c r="Z214" s="24" t="n">
        <f aca="false">IF($AB214="",0,IF(ISNUMBER($B214),IF(AND($B214&gt;=N($B$3),OR(NOT(ISNUMBER($D$3)),$B214&lt;=$D$3)),1,0),1))</f>
        <v>0</v>
      </c>
      <c r="AA214" s="24" t="n">
        <f aca="false">$AA213*(1+IF($Z214=1,N($G214),0))</f>
        <v>1.0035</v>
      </c>
      <c r="AB214" s="0" t="str">
        <f aca="false">IF($F214="","",IFERROR(INDEX(Cilësimet!$B$6:$B$10,MATCH($F214,Cilësimet!$A$6:$A$10,0)),""))</f>
        <v/>
      </c>
    </row>
    <row r="215" customFormat="false" ht="18.75" hidden="false" customHeight="true" outlineLevel="0" collapsed="false">
      <c r="A215" s="1"/>
      <c r="B215" s="17"/>
      <c r="C215" s="18"/>
      <c r="D215" s="18"/>
      <c r="E215" s="19"/>
      <c r="F215" s="20"/>
      <c r="G215" s="21" t="str">
        <f aca="false">IF($AB215="","",Cilësimet!$C$3*(INDEX(Cilësimet!$C$6:$C$10,MATCH($F215,Cilësimet!$A$6:$A$10,0))*N($E215)+INDEX(Cilësimet!$D$6:$D$10,MATCH($F215,Cilësimet!$A$6:$A$10,0))))</f>
        <v/>
      </c>
      <c r="H215" s="22" t="str">
        <f aca="false">IF($Z215=1,$AA215-1,"")</f>
        <v/>
      </c>
      <c r="I215" s="23"/>
      <c r="J215" s="1"/>
      <c r="K215" s="1"/>
      <c r="L215" s="1"/>
      <c r="M215" s="1"/>
      <c r="N215" s="1"/>
      <c r="O215" s="1"/>
      <c r="P215" s="1"/>
      <c r="Q215" s="1"/>
      <c r="R215" s="1"/>
      <c r="S215" s="1"/>
      <c r="Z215" s="24" t="n">
        <f aca="false">IF($AB215="",0,IF(ISNUMBER($B215),IF(AND($B215&gt;=N($B$3),OR(NOT(ISNUMBER($D$3)),$B215&lt;=$D$3)),1,0),1))</f>
        <v>0</v>
      </c>
      <c r="AA215" s="24" t="n">
        <f aca="false">$AA214*(1+IF($Z215=1,N($G215),0))</f>
        <v>1.0035</v>
      </c>
      <c r="AB215" s="0" t="str">
        <f aca="false">IF($F215="","",IFERROR(INDEX(Cilësimet!$B$6:$B$10,MATCH($F215,Cilësimet!$A$6:$A$10,0)),""))</f>
        <v/>
      </c>
    </row>
    <row r="216" customFormat="false" ht="18.75" hidden="false" customHeight="true" outlineLevel="0" collapsed="false">
      <c r="A216" s="1"/>
      <c r="B216" s="17"/>
      <c r="C216" s="18"/>
      <c r="D216" s="18"/>
      <c r="E216" s="19"/>
      <c r="F216" s="20"/>
      <c r="G216" s="21" t="str">
        <f aca="false">IF($AB216="","",Cilësimet!$C$3*(INDEX(Cilësimet!$C$6:$C$10,MATCH($F216,Cilësimet!$A$6:$A$10,0))*N($E216)+INDEX(Cilësimet!$D$6:$D$10,MATCH($F216,Cilësimet!$A$6:$A$10,0))))</f>
        <v/>
      </c>
      <c r="H216" s="22" t="str">
        <f aca="false">IF($Z216=1,$AA216-1,"")</f>
        <v/>
      </c>
      <c r="I216" s="23"/>
      <c r="J216" s="1"/>
      <c r="K216" s="1"/>
      <c r="L216" s="1"/>
      <c r="M216" s="1"/>
      <c r="N216" s="1"/>
      <c r="O216" s="1"/>
      <c r="P216" s="1"/>
      <c r="Q216" s="1"/>
      <c r="R216" s="1"/>
      <c r="S216" s="1"/>
      <c r="Z216" s="24" t="n">
        <f aca="false">IF($AB216="",0,IF(ISNUMBER($B216),IF(AND($B216&gt;=N($B$3),OR(NOT(ISNUMBER($D$3)),$B216&lt;=$D$3)),1,0),1))</f>
        <v>0</v>
      </c>
      <c r="AA216" s="24" t="n">
        <f aca="false">$AA215*(1+IF($Z216=1,N($G216),0))</f>
        <v>1.0035</v>
      </c>
      <c r="AB216" s="0" t="str">
        <f aca="false">IF($F216="","",IFERROR(INDEX(Cilësimet!$B$6:$B$10,MATCH($F216,Cilësimet!$A$6:$A$10,0)),""))</f>
        <v/>
      </c>
    </row>
    <row r="217" customFormat="false" ht="18.75" hidden="false" customHeight="true" outlineLevel="0" collapsed="false">
      <c r="A217" s="1"/>
      <c r="B217" s="17"/>
      <c r="C217" s="18"/>
      <c r="D217" s="18"/>
      <c r="E217" s="19"/>
      <c r="F217" s="20"/>
      <c r="G217" s="21" t="str">
        <f aca="false">IF($AB217="","",Cilësimet!$C$3*(INDEX(Cilësimet!$C$6:$C$10,MATCH($F217,Cilësimet!$A$6:$A$10,0))*N($E217)+INDEX(Cilësimet!$D$6:$D$10,MATCH($F217,Cilësimet!$A$6:$A$10,0))))</f>
        <v/>
      </c>
      <c r="H217" s="22" t="str">
        <f aca="false">IF($Z217=1,$AA217-1,"")</f>
        <v/>
      </c>
      <c r="I217" s="23"/>
      <c r="J217" s="1"/>
      <c r="K217" s="1"/>
      <c r="L217" s="1"/>
      <c r="M217" s="1"/>
      <c r="N217" s="1"/>
      <c r="O217" s="1"/>
      <c r="P217" s="1"/>
      <c r="Q217" s="1"/>
      <c r="R217" s="1"/>
      <c r="S217" s="1"/>
      <c r="Z217" s="24" t="n">
        <f aca="false">IF($AB217="",0,IF(ISNUMBER($B217),IF(AND($B217&gt;=N($B$3),OR(NOT(ISNUMBER($D$3)),$B217&lt;=$D$3)),1,0),1))</f>
        <v>0</v>
      </c>
      <c r="AA217" s="24" t="n">
        <f aca="false">$AA216*(1+IF($Z217=1,N($G217),0))</f>
        <v>1.0035</v>
      </c>
      <c r="AB217" s="0" t="str">
        <f aca="false">IF($F217="","",IFERROR(INDEX(Cilësimet!$B$6:$B$10,MATCH($F217,Cilësimet!$A$6:$A$10,0)),""))</f>
        <v/>
      </c>
    </row>
    <row r="218" customFormat="false" ht="18.75" hidden="false" customHeight="true" outlineLevel="0" collapsed="false">
      <c r="A218" s="1"/>
      <c r="B218" s="17"/>
      <c r="C218" s="18"/>
      <c r="D218" s="18"/>
      <c r="E218" s="19"/>
      <c r="F218" s="20"/>
      <c r="G218" s="21" t="str">
        <f aca="false">IF($AB218="","",Cilësimet!$C$3*(INDEX(Cilësimet!$C$6:$C$10,MATCH($F218,Cilësimet!$A$6:$A$10,0))*N($E218)+INDEX(Cilësimet!$D$6:$D$10,MATCH($F218,Cilësimet!$A$6:$A$10,0))))</f>
        <v/>
      </c>
      <c r="H218" s="22" t="str">
        <f aca="false">IF($Z218=1,$AA218-1,"")</f>
        <v/>
      </c>
      <c r="I218" s="23"/>
      <c r="J218" s="1"/>
      <c r="K218" s="1"/>
      <c r="L218" s="1"/>
      <c r="M218" s="1"/>
      <c r="N218" s="1"/>
      <c r="O218" s="1"/>
      <c r="P218" s="1"/>
      <c r="Q218" s="1"/>
      <c r="R218" s="1"/>
      <c r="S218" s="1"/>
      <c r="Z218" s="24" t="n">
        <f aca="false">IF($AB218="",0,IF(ISNUMBER($B218),IF(AND($B218&gt;=N($B$3),OR(NOT(ISNUMBER($D$3)),$B218&lt;=$D$3)),1,0),1))</f>
        <v>0</v>
      </c>
      <c r="AA218" s="24" t="n">
        <f aca="false">$AA217*(1+IF($Z218=1,N($G218),0))</f>
        <v>1.0035</v>
      </c>
      <c r="AB218" s="0" t="str">
        <f aca="false">IF($F218="","",IFERROR(INDEX(Cilësimet!$B$6:$B$10,MATCH($F218,Cilësimet!$A$6:$A$10,0)),""))</f>
        <v/>
      </c>
    </row>
    <row r="219" customFormat="false" ht="18.75" hidden="false" customHeight="true" outlineLevel="0" collapsed="false">
      <c r="A219" s="1"/>
      <c r="B219" s="17"/>
      <c r="C219" s="18"/>
      <c r="D219" s="18"/>
      <c r="E219" s="19"/>
      <c r="F219" s="20"/>
      <c r="G219" s="21" t="str">
        <f aca="false">IF($AB219="","",Cilësimet!$C$3*(INDEX(Cilësimet!$C$6:$C$10,MATCH($F219,Cilësimet!$A$6:$A$10,0))*N($E219)+INDEX(Cilësimet!$D$6:$D$10,MATCH($F219,Cilësimet!$A$6:$A$10,0))))</f>
        <v/>
      </c>
      <c r="H219" s="22" t="str">
        <f aca="false">IF($Z219=1,$AA219-1,"")</f>
        <v/>
      </c>
      <c r="I219" s="23"/>
      <c r="J219" s="1"/>
      <c r="K219" s="1"/>
      <c r="L219" s="1"/>
      <c r="M219" s="1"/>
      <c r="N219" s="1"/>
      <c r="O219" s="1"/>
      <c r="P219" s="1"/>
      <c r="Q219" s="1"/>
      <c r="R219" s="1"/>
      <c r="S219" s="1"/>
      <c r="Z219" s="24" t="n">
        <f aca="false">IF($AB219="",0,IF(ISNUMBER($B219),IF(AND($B219&gt;=N($B$3),OR(NOT(ISNUMBER($D$3)),$B219&lt;=$D$3)),1,0),1))</f>
        <v>0</v>
      </c>
      <c r="AA219" s="24" t="n">
        <f aca="false">$AA218*(1+IF($Z219=1,N($G219),0))</f>
        <v>1.0035</v>
      </c>
      <c r="AB219" s="0" t="str">
        <f aca="false">IF($F219="","",IFERROR(INDEX(Cilësimet!$B$6:$B$10,MATCH($F219,Cilësimet!$A$6:$A$10,0)),""))</f>
        <v/>
      </c>
    </row>
    <row r="220" customFormat="false" ht="18.75" hidden="false" customHeight="true" outlineLevel="0" collapsed="false">
      <c r="A220" s="1"/>
      <c r="B220" s="17"/>
      <c r="C220" s="18"/>
      <c r="D220" s="18"/>
      <c r="E220" s="19"/>
      <c r="F220" s="20"/>
      <c r="G220" s="21" t="str">
        <f aca="false">IF($AB220="","",Cilësimet!$C$3*(INDEX(Cilësimet!$C$6:$C$10,MATCH($F220,Cilësimet!$A$6:$A$10,0))*N($E220)+INDEX(Cilësimet!$D$6:$D$10,MATCH($F220,Cilësimet!$A$6:$A$10,0))))</f>
        <v/>
      </c>
      <c r="H220" s="22" t="str">
        <f aca="false">IF($Z220=1,$AA220-1,"")</f>
        <v/>
      </c>
      <c r="I220" s="23"/>
      <c r="J220" s="1"/>
      <c r="K220" s="1"/>
      <c r="L220" s="1"/>
      <c r="M220" s="1"/>
      <c r="N220" s="1"/>
      <c r="O220" s="1"/>
      <c r="P220" s="1"/>
      <c r="Q220" s="1"/>
      <c r="R220" s="1"/>
      <c r="S220" s="1"/>
      <c r="Z220" s="24" t="n">
        <f aca="false">IF($AB220="",0,IF(ISNUMBER($B220),IF(AND($B220&gt;=N($B$3),OR(NOT(ISNUMBER($D$3)),$B220&lt;=$D$3)),1,0),1))</f>
        <v>0</v>
      </c>
      <c r="AA220" s="24" t="n">
        <f aca="false">$AA219*(1+IF($Z220=1,N($G220),0))</f>
        <v>1.0035</v>
      </c>
      <c r="AB220" s="0" t="str">
        <f aca="false">IF($F220="","",IFERROR(INDEX(Cilësimet!$B$6:$B$10,MATCH($F220,Cilësimet!$A$6:$A$10,0)),""))</f>
        <v/>
      </c>
    </row>
    <row r="221" customFormat="false" ht="18.75" hidden="false" customHeight="true" outlineLevel="0" collapsed="false">
      <c r="A221" s="1"/>
      <c r="B221" s="17"/>
      <c r="C221" s="18"/>
      <c r="D221" s="18"/>
      <c r="E221" s="19"/>
      <c r="F221" s="20"/>
      <c r="G221" s="21" t="str">
        <f aca="false">IF($AB221="","",Cilësimet!$C$3*(INDEX(Cilësimet!$C$6:$C$10,MATCH($F221,Cilësimet!$A$6:$A$10,0))*N($E221)+INDEX(Cilësimet!$D$6:$D$10,MATCH($F221,Cilësimet!$A$6:$A$10,0))))</f>
        <v/>
      </c>
      <c r="H221" s="22" t="str">
        <f aca="false">IF($Z221=1,$AA221-1,"")</f>
        <v/>
      </c>
      <c r="I221" s="23"/>
      <c r="J221" s="1"/>
      <c r="K221" s="1"/>
      <c r="L221" s="1"/>
      <c r="M221" s="1"/>
      <c r="N221" s="1"/>
      <c r="O221" s="1"/>
      <c r="P221" s="1"/>
      <c r="Q221" s="1"/>
      <c r="R221" s="1"/>
      <c r="S221" s="1"/>
      <c r="Z221" s="24" t="n">
        <f aca="false">IF($AB221="",0,IF(ISNUMBER($B221),IF(AND($B221&gt;=N($B$3),OR(NOT(ISNUMBER($D$3)),$B221&lt;=$D$3)),1,0),1))</f>
        <v>0</v>
      </c>
      <c r="AA221" s="24" t="n">
        <f aca="false">$AA220*(1+IF($Z221=1,N($G221),0))</f>
        <v>1.0035</v>
      </c>
      <c r="AB221" s="0" t="str">
        <f aca="false">IF($F221="","",IFERROR(INDEX(Cilësimet!$B$6:$B$10,MATCH($F221,Cilësimet!$A$6:$A$10,0)),""))</f>
        <v/>
      </c>
    </row>
    <row r="222" customFormat="false" ht="18.75" hidden="false" customHeight="true" outlineLevel="0" collapsed="false">
      <c r="A222" s="1"/>
      <c r="B222" s="17"/>
      <c r="C222" s="18"/>
      <c r="D222" s="18"/>
      <c r="E222" s="19"/>
      <c r="F222" s="20"/>
      <c r="G222" s="21" t="str">
        <f aca="false">IF($AB222="","",Cilësimet!$C$3*(INDEX(Cilësimet!$C$6:$C$10,MATCH($F222,Cilësimet!$A$6:$A$10,0))*N($E222)+INDEX(Cilësimet!$D$6:$D$10,MATCH($F222,Cilësimet!$A$6:$A$10,0))))</f>
        <v/>
      </c>
      <c r="H222" s="22" t="str">
        <f aca="false">IF($Z222=1,$AA222-1,"")</f>
        <v/>
      </c>
      <c r="I222" s="23"/>
      <c r="J222" s="1"/>
      <c r="K222" s="1"/>
      <c r="L222" s="1"/>
      <c r="M222" s="1"/>
      <c r="N222" s="1"/>
      <c r="O222" s="1"/>
      <c r="P222" s="1"/>
      <c r="Q222" s="1"/>
      <c r="R222" s="1"/>
      <c r="S222" s="1"/>
      <c r="Z222" s="24" t="n">
        <f aca="false">IF($AB222="",0,IF(ISNUMBER($B222),IF(AND($B222&gt;=N($B$3),OR(NOT(ISNUMBER($D$3)),$B222&lt;=$D$3)),1,0),1))</f>
        <v>0</v>
      </c>
      <c r="AA222" s="24" t="n">
        <f aca="false">$AA221*(1+IF($Z222=1,N($G222),0))</f>
        <v>1.0035</v>
      </c>
      <c r="AB222" s="0" t="str">
        <f aca="false">IF($F222="","",IFERROR(INDEX(Cilësimet!$B$6:$B$10,MATCH($F222,Cilësimet!$A$6:$A$10,0)),""))</f>
        <v/>
      </c>
    </row>
    <row r="223" customFormat="false" ht="18.75" hidden="false" customHeight="true" outlineLevel="0" collapsed="false">
      <c r="A223" s="1"/>
      <c r="B223" s="17"/>
      <c r="C223" s="18"/>
      <c r="D223" s="18"/>
      <c r="E223" s="19"/>
      <c r="F223" s="20"/>
      <c r="G223" s="21" t="str">
        <f aca="false">IF($AB223="","",Cilësimet!$C$3*(INDEX(Cilësimet!$C$6:$C$10,MATCH($F223,Cilësimet!$A$6:$A$10,0))*N($E223)+INDEX(Cilësimet!$D$6:$D$10,MATCH($F223,Cilësimet!$A$6:$A$10,0))))</f>
        <v/>
      </c>
      <c r="H223" s="22" t="str">
        <f aca="false">IF($Z223=1,$AA223-1,"")</f>
        <v/>
      </c>
      <c r="I223" s="23"/>
      <c r="J223" s="1"/>
      <c r="K223" s="1"/>
      <c r="L223" s="1"/>
      <c r="M223" s="1"/>
      <c r="N223" s="1"/>
      <c r="O223" s="1"/>
      <c r="P223" s="1"/>
      <c r="Q223" s="1"/>
      <c r="R223" s="1"/>
      <c r="S223" s="1"/>
      <c r="Z223" s="24" t="n">
        <f aca="false">IF($AB223="",0,IF(ISNUMBER($B223),IF(AND($B223&gt;=N($B$3),OR(NOT(ISNUMBER($D$3)),$B223&lt;=$D$3)),1,0),1))</f>
        <v>0</v>
      </c>
      <c r="AA223" s="24" t="n">
        <f aca="false">$AA222*(1+IF($Z223=1,N($G223),0))</f>
        <v>1.0035</v>
      </c>
      <c r="AB223" s="0" t="str">
        <f aca="false">IF($F223="","",IFERROR(INDEX(Cilësimet!$B$6:$B$10,MATCH($F223,Cilësimet!$A$6:$A$10,0)),""))</f>
        <v/>
      </c>
    </row>
    <row r="224" customFormat="false" ht="18.75" hidden="false" customHeight="true" outlineLevel="0" collapsed="false">
      <c r="A224" s="1"/>
      <c r="B224" s="17"/>
      <c r="C224" s="18"/>
      <c r="D224" s="18"/>
      <c r="E224" s="19"/>
      <c r="F224" s="20"/>
      <c r="G224" s="21" t="str">
        <f aca="false">IF($AB224="","",Cilësimet!$C$3*(INDEX(Cilësimet!$C$6:$C$10,MATCH($F224,Cilësimet!$A$6:$A$10,0))*N($E224)+INDEX(Cilësimet!$D$6:$D$10,MATCH($F224,Cilësimet!$A$6:$A$10,0))))</f>
        <v/>
      </c>
      <c r="H224" s="22" t="str">
        <f aca="false">IF($Z224=1,$AA224-1,"")</f>
        <v/>
      </c>
      <c r="I224" s="23"/>
      <c r="J224" s="1"/>
      <c r="K224" s="1"/>
      <c r="L224" s="1"/>
      <c r="M224" s="1"/>
      <c r="N224" s="1"/>
      <c r="O224" s="1"/>
      <c r="P224" s="1"/>
      <c r="Q224" s="1"/>
      <c r="R224" s="1"/>
      <c r="S224" s="1"/>
      <c r="Z224" s="24" t="n">
        <f aca="false">IF($AB224="",0,IF(ISNUMBER($B224),IF(AND($B224&gt;=N($B$3),OR(NOT(ISNUMBER($D$3)),$B224&lt;=$D$3)),1,0),1))</f>
        <v>0</v>
      </c>
      <c r="AA224" s="24" t="n">
        <f aca="false">$AA223*(1+IF($Z224=1,N($G224),0))</f>
        <v>1.0035</v>
      </c>
      <c r="AB224" s="0" t="str">
        <f aca="false">IF($F224="","",IFERROR(INDEX(Cilësimet!$B$6:$B$10,MATCH($F224,Cilësimet!$A$6:$A$10,0)),""))</f>
        <v/>
      </c>
    </row>
    <row r="225" customFormat="false" ht="18.75" hidden="false" customHeight="true" outlineLevel="0" collapsed="false">
      <c r="A225" s="1"/>
      <c r="B225" s="17"/>
      <c r="C225" s="18"/>
      <c r="D225" s="18"/>
      <c r="E225" s="19"/>
      <c r="F225" s="20"/>
      <c r="G225" s="21" t="str">
        <f aca="false">IF($AB225="","",Cilësimet!$C$3*(INDEX(Cilësimet!$C$6:$C$10,MATCH($F225,Cilësimet!$A$6:$A$10,0))*N($E225)+INDEX(Cilësimet!$D$6:$D$10,MATCH($F225,Cilësimet!$A$6:$A$10,0))))</f>
        <v/>
      </c>
      <c r="H225" s="22" t="str">
        <f aca="false">IF($Z225=1,$AA225-1,"")</f>
        <v/>
      </c>
      <c r="I225" s="23"/>
      <c r="J225" s="1"/>
      <c r="K225" s="1"/>
      <c r="L225" s="1"/>
      <c r="M225" s="1"/>
      <c r="N225" s="1"/>
      <c r="O225" s="1"/>
      <c r="P225" s="1"/>
      <c r="Q225" s="1"/>
      <c r="R225" s="1"/>
      <c r="S225" s="1"/>
      <c r="Z225" s="24" t="n">
        <f aca="false">IF($AB225="",0,IF(ISNUMBER($B225),IF(AND($B225&gt;=N($B$3),OR(NOT(ISNUMBER($D$3)),$B225&lt;=$D$3)),1,0),1))</f>
        <v>0</v>
      </c>
      <c r="AA225" s="24" t="n">
        <f aca="false">$AA224*(1+IF($Z225=1,N($G225),0))</f>
        <v>1.0035</v>
      </c>
      <c r="AB225" s="0" t="str">
        <f aca="false">IF($F225="","",IFERROR(INDEX(Cilësimet!$B$6:$B$10,MATCH($F225,Cilësimet!$A$6:$A$10,0)),""))</f>
        <v/>
      </c>
    </row>
    <row r="226" customFormat="false" ht="18.75" hidden="false" customHeight="true" outlineLevel="0" collapsed="false">
      <c r="A226" s="1"/>
      <c r="B226" s="17"/>
      <c r="C226" s="18"/>
      <c r="D226" s="18"/>
      <c r="E226" s="19"/>
      <c r="F226" s="20"/>
      <c r="G226" s="21" t="str">
        <f aca="false">IF($AB226="","",Cilësimet!$C$3*(INDEX(Cilësimet!$C$6:$C$10,MATCH($F226,Cilësimet!$A$6:$A$10,0))*N($E226)+INDEX(Cilësimet!$D$6:$D$10,MATCH($F226,Cilësimet!$A$6:$A$10,0))))</f>
        <v/>
      </c>
      <c r="H226" s="22" t="str">
        <f aca="false">IF($Z226=1,$AA226-1,"")</f>
        <v/>
      </c>
      <c r="I226" s="23"/>
      <c r="J226" s="1"/>
      <c r="K226" s="1"/>
      <c r="L226" s="1"/>
      <c r="M226" s="1"/>
      <c r="N226" s="1"/>
      <c r="O226" s="1"/>
      <c r="P226" s="1"/>
      <c r="Q226" s="1"/>
      <c r="R226" s="1"/>
      <c r="S226" s="1"/>
      <c r="Z226" s="24" t="n">
        <f aca="false">IF($AB226="",0,IF(ISNUMBER($B226),IF(AND($B226&gt;=N($B$3),OR(NOT(ISNUMBER($D$3)),$B226&lt;=$D$3)),1,0),1))</f>
        <v>0</v>
      </c>
      <c r="AA226" s="24" t="n">
        <f aca="false">$AA225*(1+IF($Z226=1,N($G226),0))</f>
        <v>1.0035</v>
      </c>
      <c r="AB226" s="0" t="str">
        <f aca="false">IF($F226="","",IFERROR(INDEX(Cilësimet!$B$6:$B$10,MATCH($F226,Cilësimet!$A$6:$A$10,0)),""))</f>
        <v/>
      </c>
    </row>
    <row r="227" customFormat="false" ht="18.75" hidden="false" customHeight="true" outlineLevel="0" collapsed="false">
      <c r="A227" s="1"/>
      <c r="B227" s="17"/>
      <c r="C227" s="18"/>
      <c r="D227" s="18"/>
      <c r="E227" s="19"/>
      <c r="F227" s="20"/>
      <c r="G227" s="21" t="str">
        <f aca="false">IF($AB227="","",Cilësimet!$C$3*(INDEX(Cilësimet!$C$6:$C$10,MATCH($F227,Cilësimet!$A$6:$A$10,0))*N($E227)+INDEX(Cilësimet!$D$6:$D$10,MATCH($F227,Cilësimet!$A$6:$A$10,0))))</f>
        <v/>
      </c>
      <c r="H227" s="22" t="str">
        <f aca="false">IF($Z227=1,$AA227-1,"")</f>
        <v/>
      </c>
      <c r="I227" s="23"/>
      <c r="J227" s="1"/>
      <c r="K227" s="1"/>
      <c r="L227" s="1"/>
      <c r="M227" s="1"/>
      <c r="N227" s="1"/>
      <c r="O227" s="1"/>
      <c r="P227" s="1"/>
      <c r="Q227" s="1"/>
      <c r="R227" s="1"/>
      <c r="S227" s="1"/>
      <c r="Z227" s="24" t="n">
        <f aca="false">IF($AB227="",0,IF(ISNUMBER($B227),IF(AND($B227&gt;=N($B$3),OR(NOT(ISNUMBER($D$3)),$B227&lt;=$D$3)),1,0),1))</f>
        <v>0</v>
      </c>
      <c r="AA227" s="24" t="n">
        <f aca="false">$AA226*(1+IF($Z227=1,N($G227),0))</f>
        <v>1.0035</v>
      </c>
      <c r="AB227" s="0" t="str">
        <f aca="false">IF($F227="","",IFERROR(INDEX(Cilësimet!$B$6:$B$10,MATCH($F227,Cilësimet!$A$6:$A$10,0)),""))</f>
        <v/>
      </c>
    </row>
    <row r="228" customFormat="false" ht="18.75" hidden="false" customHeight="true" outlineLevel="0" collapsed="false">
      <c r="A228" s="1"/>
      <c r="B228" s="17"/>
      <c r="C228" s="18"/>
      <c r="D228" s="18"/>
      <c r="E228" s="19"/>
      <c r="F228" s="20"/>
      <c r="G228" s="21" t="str">
        <f aca="false">IF($AB228="","",Cilësimet!$C$3*(INDEX(Cilësimet!$C$6:$C$10,MATCH($F228,Cilësimet!$A$6:$A$10,0))*N($E228)+INDEX(Cilësimet!$D$6:$D$10,MATCH($F228,Cilësimet!$A$6:$A$10,0))))</f>
        <v/>
      </c>
      <c r="H228" s="22" t="str">
        <f aca="false">IF($Z228=1,$AA228-1,"")</f>
        <v/>
      </c>
      <c r="I228" s="23"/>
      <c r="J228" s="1"/>
      <c r="K228" s="1"/>
      <c r="L228" s="1"/>
      <c r="M228" s="1"/>
      <c r="N228" s="1"/>
      <c r="O228" s="1"/>
      <c r="P228" s="1"/>
      <c r="Q228" s="1"/>
      <c r="R228" s="1"/>
      <c r="S228" s="1"/>
      <c r="Z228" s="24" t="n">
        <f aca="false">IF($AB228="",0,IF(ISNUMBER($B228),IF(AND($B228&gt;=N($B$3),OR(NOT(ISNUMBER($D$3)),$B228&lt;=$D$3)),1,0),1))</f>
        <v>0</v>
      </c>
      <c r="AA228" s="24" t="n">
        <f aca="false">$AA227*(1+IF($Z228=1,N($G228),0))</f>
        <v>1.0035</v>
      </c>
      <c r="AB228" s="0" t="str">
        <f aca="false">IF($F228="","",IFERROR(INDEX(Cilësimet!$B$6:$B$10,MATCH($F228,Cilësimet!$A$6:$A$10,0)),""))</f>
        <v/>
      </c>
    </row>
    <row r="229" customFormat="false" ht="18.75" hidden="false" customHeight="true" outlineLevel="0" collapsed="false">
      <c r="A229" s="1"/>
      <c r="B229" s="17"/>
      <c r="C229" s="18"/>
      <c r="D229" s="18"/>
      <c r="E229" s="19"/>
      <c r="F229" s="20"/>
      <c r="G229" s="21" t="str">
        <f aca="false">IF($AB229="","",Cilësimet!$C$3*(INDEX(Cilësimet!$C$6:$C$10,MATCH($F229,Cilësimet!$A$6:$A$10,0))*N($E229)+INDEX(Cilësimet!$D$6:$D$10,MATCH($F229,Cilësimet!$A$6:$A$10,0))))</f>
        <v/>
      </c>
      <c r="H229" s="22" t="str">
        <f aca="false">IF($Z229=1,$AA229-1,"")</f>
        <v/>
      </c>
      <c r="I229" s="23"/>
      <c r="J229" s="1"/>
      <c r="K229" s="1"/>
      <c r="L229" s="1"/>
      <c r="M229" s="1"/>
      <c r="N229" s="1"/>
      <c r="O229" s="1"/>
      <c r="P229" s="1"/>
      <c r="Q229" s="1"/>
      <c r="R229" s="1"/>
      <c r="S229" s="1"/>
      <c r="Z229" s="24" t="n">
        <f aca="false">IF($AB229="",0,IF(ISNUMBER($B229),IF(AND($B229&gt;=N($B$3),OR(NOT(ISNUMBER($D$3)),$B229&lt;=$D$3)),1,0),1))</f>
        <v>0</v>
      </c>
      <c r="AA229" s="24" t="n">
        <f aca="false">$AA228*(1+IF($Z229=1,N($G229),0))</f>
        <v>1.0035</v>
      </c>
      <c r="AB229" s="0" t="str">
        <f aca="false">IF($F229="","",IFERROR(INDEX(Cilësimet!$B$6:$B$10,MATCH($F229,Cilësimet!$A$6:$A$10,0)),""))</f>
        <v/>
      </c>
    </row>
    <row r="230" customFormat="false" ht="18.75" hidden="false" customHeight="true" outlineLevel="0" collapsed="false">
      <c r="A230" s="1"/>
      <c r="B230" s="17"/>
      <c r="C230" s="18"/>
      <c r="D230" s="18"/>
      <c r="E230" s="19"/>
      <c r="F230" s="20"/>
      <c r="G230" s="21" t="str">
        <f aca="false">IF($AB230="","",Cilësimet!$C$3*(INDEX(Cilësimet!$C$6:$C$10,MATCH($F230,Cilësimet!$A$6:$A$10,0))*N($E230)+INDEX(Cilësimet!$D$6:$D$10,MATCH($F230,Cilësimet!$A$6:$A$10,0))))</f>
        <v/>
      </c>
      <c r="H230" s="22" t="str">
        <f aca="false">IF($Z230=1,$AA230-1,"")</f>
        <v/>
      </c>
      <c r="I230" s="23"/>
      <c r="J230" s="1"/>
      <c r="K230" s="1"/>
      <c r="L230" s="1"/>
      <c r="M230" s="1"/>
      <c r="N230" s="1"/>
      <c r="O230" s="1"/>
      <c r="P230" s="1"/>
      <c r="Q230" s="1"/>
      <c r="R230" s="1"/>
      <c r="S230" s="1"/>
      <c r="Z230" s="24" t="n">
        <f aca="false">IF($AB230="",0,IF(ISNUMBER($B230),IF(AND($B230&gt;=N($B$3),OR(NOT(ISNUMBER($D$3)),$B230&lt;=$D$3)),1,0),1))</f>
        <v>0</v>
      </c>
      <c r="AA230" s="24" t="n">
        <f aca="false">$AA229*(1+IF($Z230=1,N($G230),0))</f>
        <v>1.0035</v>
      </c>
      <c r="AB230" s="0" t="str">
        <f aca="false">IF($F230="","",IFERROR(INDEX(Cilësimet!$B$6:$B$10,MATCH($F230,Cilësimet!$A$6:$A$10,0)),""))</f>
        <v/>
      </c>
    </row>
    <row r="231" customFormat="false" ht="18.75" hidden="false" customHeight="true" outlineLevel="0" collapsed="false">
      <c r="A231" s="1"/>
      <c r="B231" s="17"/>
      <c r="C231" s="18"/>
      <c r="D231" s="18"/>
      <c r="E231" s="19"/>
      <c r="F231" s="20"/>
      <c r="G231" s="21" t="str">
        <f aca="false">IF($AB231="","",Cilësimet!$C$3*(INDEX(Cilësimet!$C$6:$C$10,MATCH($F231,Cilësimet!$A$6:$A$10,0))*N($E231)+INDEX(Cilësimet!$D$6:$D$10,MATCH($F231,Cilësimet!$A$6:$A$10,0))))</f>
        <v/>
      </c>
      <c r="H231" s="22" t="str">
        <f aca="false">IF($Z231=1,$AA231-1,"")</f>
        <v/>
      </c>
      <c r="I231" s="23"/>
      <c r="J231" s="1"/>
      <c r="K231" s="1"/>
      <c r="L231" s="1"/>
      <c r="M231" s="1"/>
      <c r="N231" s="1"/>
      <c r="O231" s="1"/>
      <c r="P231" s="1"/>
      <c r="Q231" s="1"/>
      <c r="R231" s="1"/>
      <c r="S231" s="1"/>
      <c r="Z231" s="24" t="n">
        <f aca="false">IF($AB231="",0,IF(ISNUMBER($B231),IF(AND($B231&gt;=N($B$3),OR(NOT(ISNUMBER($D$3)),$B231&lt;=$D$3)),1,0),1))</f>
        <v>0</v>
      </c>
      <c r="AA231" s="24" t="n">
        <f aca="false">$AA230*(1+IF($Z231=1,N($G231),0))</f>
        <v>1.0035</v>
      </c>
      <c r="AB231" s="0" t="str">
        <f aca="false">IF($F231="","",IFERROR(INDEX(Cilësimet!$B$6:$B$10,MATCH($F231,Cilësimet!$A$6:$A$10,0)),""))</f>
        <v/>
      </c>
    </row>
    <row r="232" customFormat="false" ht="18.75" hidden="false" customHeight="true" outlineLevel="0" collapsed="false">
      <c r="A232" s="1"/>
      <c r="B232" s="17"/>
      <c r="C232" s="18"/>
      <c r="D232" s="18"/>
      <c r="E232" s="19"/>
      <c r="F232" s="20"/>
      <c r="G232" s="21" t="str">
        <f aca="false">IF($AB232="","",Cilësimet!$C$3*(INDEX(Cilësimet!$C$6:$C$10,MATCH($F232,Cilësimet!$A$6:$A$10,0))*N($E232)+INDEX(Cilësimet!$D$6:$D$10,MATCH($F232,Cilësimet!$A$6:$A$10,0))))</f>
        <v/>
      </c>
      <c r="H232" s="22" t="str">
        <f aca="false">IF($Z232=1,$AA232-1,"")</f>
        <v/>
      </c>
      <c r="I232" s="23"/>
      <c r="J232" s="1"/>
      <c r="K232" s="1"/>
      <c r="L232" s="1"/>
      <c r="M232" s="1"/>
      <c r="N232" s="1"/>
      <c r="O232" s="1"/>
      <c r="P232" s="1"/>
      <c r="Q232" s="1"/>
      <c r="R232" s="1"/>
      <c r="S232" s="1"/>
      <c r="Z232" s="24" t="n">
        <f aca="false">IF($AB232="",0,IF(ISNUMBER($B232),IF(AND($B232&gt;=N($B$3),OR(NOT(ISNUMBER($D$3)),$B232&lt;=$D$3)),1,0),1))</f>
        <v>0</v>
      </c>
      <c r="AA232" s="24" t="n">
        <f aca="false">$AA231*(1+IF($Z232=1,N($G232),0))</f>
        <v>1.0035</v>
      </c>
      <c r="AB232" s="0" t="str">
        <f aca="false">IF($F232="","",IFERROR(INDEX(Cilësimet!$B$6:$B$10,MATCH($F232,Cilësimet!$A$6:$A$10,0)),""))</f>
        <v/>
      </c>
    </row>
    <row r="233" customFormat="false" ht="18.75" hidden="false" customHeight="true" outlineLevel="0" collapsed="false">
      <c r="A233" s="1"/>
      <c r="B233" s="17"/>
      <c r="C233" s="18"/>
      <c r="D233" s="18"/>
      <c r="E233" s="19"/>
      <c r="F233" s="20"/>
      <c r="G233" s="21" t="str">
        <f aca="false">IF($AB233="","",Cilësimet!$C$3*(INDEX(Cilësimet!$C$6:$C$10,MATCH($F233,Cilësimet!$A$6:$A$10,0))*N($E233)+INDEX(Cilësimet!$D$6:$D$10,MATCH($F233,Cilësimet!$A$6:$A$10,0))))</f>
        <v/>
      </c>
      <c r="H233" s="22" t="str">
        <f aca="false">IF($Z233=1,$AA233-1,"")</f>
        <v/>
      </c>
      <c r="I233" s="23"/>
      <c r="J233" s="1"/>
      <c r="K233" s="1"/>
      <c r="L233" s="1"/>
      <c r="M233" s="1"/>
      <c r="N233" s="1"/>
      <c r="O233" s="1"/>
      <c r="P233" s="1"/>
      <c r="Q233" s="1"/>
      <c r="R233" s="1"/>
      <c r="S233" s="1"/>
      <c r="Z233" s="24" t="n">
        <f aca="false">IF($AB233="",0,IF(ISNUMBER($B233),IF(AND($B233&gt;=N($B$3),OR(NOT(ISNUMBER($D$3)),$B233&lt;=$D$3)),1,0),1))</f>
        <v>0</v>
      </c>
      <c r="AA233" s="24" t="n">
        <f aca="false">$AA232*(1+IF($Z233=1,N($G233),0))</f>
        <v>1.0035</v>
      </c>
      <c r="AB233" s="0" t="str">
        <f aca="false">IF($F233="","",IFERROR(INDEX(Cilësimet!$B$6:$B$10,MATCH($F233,Cilësimet!$A$6:$A$10,0)),""))</f>
        <v/>
      </c>
    </row>
    <row r="234" customFormat="false" ht="18.75" hidden="false" customHeight="true" outlineLevel="0" collapsed="false">
      <c r="A234" s="1"/>
      <c r="B234" s="17"/>
      <c r="C234" s="18"/>
      <c r="D234" s="18"/>
      <c r="E234" s="19"/>
      <c r="F234" s="20"/>
      <c r="G234" s="21" t="str">
        <f aca="false">IF($AB234="","",Cilësimet!$C$3*(INDEX(Cilësimet!$C$6:$C$10,MATCH($F234,Cilësimet!$A$6:$A$10,0))*N($E234)+INDEX(Cilësimet!$D$6:$D$10,MATCH($F234,Cilësimet!$A$6:$A$10,0))))</f>
        <v/>
      </c>
      <c r="H234" s="22" t="str">
        <f aca="false">IF($Z234=1,$AA234-1,"")</f>
        <v/>
      </c>
      <c r="I234" s="23"/>
      <c r="J234" s="1"/>
      <c r="K234" s="1"/>
      <c r="L234" s="1"/>
      <c r="M234" s="1"/>
      <c r="N234" s="1"/>
      <c r="O234" s="1"/>
      <c r="P234" s="1"/>
      <c r="Q234" s="1"/>
      <c r="R234" s="1"/>
      <c r="S234" s="1"/>
      <c r="Z234" s="24" t="n">
        <f aca="false">IF($AB234="",0,IF(ISNUMBER($B234),IF(AND($B234&gt;=N($B$3),OR(NOT(ISNUMBER($D$3)),$B234&lt;=$D$3)),1,0),1))</f>
        <v>0</v>
      </c>
      <c r="AA234" s="24" t="n">
        <f aca="false">$AA233*(1+IF($Z234=1,N($G234),0))</f>
        <v>1.0035</v>
      </c>
      <c r="AB234" s="0" t="str">
        <f aca="false">IF($F234="","",IFERROR(INDEX(Cilësimet!$B$6:$B$10,MATCH($F234,Cilësimet!$A$6:$A$10,0)),""))</f>
        <v/>
      </c>
    </row>
    <row r="235" customFormat="false" ht="18.75" hidden="false" customHeight="true" outlineLevel="0" collapsed="false">
      <c r="A235" s="1"/>
      <c r="B235" s="17"/>
      <c r="C235" s="18"/>
      <c r="D235" s="18"/>
      <c r="E235" s="19"/>
      <c r="F235" s="20"/>
      <c r="G235" s="21" t="str">
        <f aca="false">IF($AB235="","",Cilësimet!$C$3*(INDEX(Cilësimet!$C$6:$C$10,MATCH($F235,Cilësimet!$A$6:$A$10,0))*N($E235)+INDEX(Cilësimet!$D$6:$D$10,MATCH($F235,Cilësimet!$A$6:$A$10,0))))</f>
        <v/>
      </c>
      <c r="H235" s="22" t="str">
        <f aca="false">IF($Z235=1,$AA235-1,"")</f>
        <v/>
      </c>
      <c r="I235" s="23"/>
      <c r="J235" s="1"/>
      <c r="K235" s="1"/>
      <c r="L235" s="1"/>
      <c r="M235" s="1"/>
      <c r="N235" s="1"/>
      <c r="O235" s="1"/>
      <c r="P235" s="1"/>
      <c r="Q235" s="1"/>
      <c r="R235" s="1"/>
      <c r="S235" s="1"/>
      <c r="Z235" s="24" t="n">
        <f aca="false">IF($AB235="",0,IF(ISNUMBER($B235),IF(AND($B235&gt;=N($B$3),OR(NOT(ISNUMBER($D$3)),$B235&lt;=$D$3)),1,0),1))</f>
        <v>0</v>
      </c>
      <c r="AA235" s="24" t="n">
        <f aca="false">$AA234*(1+IF($Z235=1,N($G235),0))</f>
        <v>1.0035</v>
      </c>
      <c r="AB235" s="0" t="str">
        <f aca="false">IF($F235="","",IFERROR(INDEX(Cilësimet!$B$6:$B$10,MATCH($F235,Cilësimet!$A$6:$A$10,0)),""))</f>
        <v/>
      </c>
    </row>
    <row r="236" customFormat="false" ht="18.75" hidden="false" customHeight="true" outlineLevel="0" collapsed="false">
      <c r="A236" s="1"/>
      <c r="B236" s="17"/>
      <c r="C236" s="18"/>
      <c r="D236" s="18"/>
      <c r="E236" s="19"/>
      <c r="F236" s="20"/>
      <c r="G236" s="21" t="str">
        <f aca="false">IF($AB236="","",Cilësimet!$C$3*(INDEX(Cilësimet!$C$6:$C$10,MATCH($F236,Cilësimet!$A$6:$A$10,0))*N($E236)+INDEX(Cilësimet!$D$6:$D$10,MATCH($F236,Cilësimet!$A$6:$A$10,0))))</f>
        <v/>
      </c>
      <c r="H236" s="22" t="str">
        <f aca="false">IF($Z236=1,$AA236-1,"")</f>
        <v/>
      </c>
      <c r="I236" s="23"/>
      <c r="J236" s="1"/>
      <c r="K236" s="1"/>
      <c r="L236" s="1"/>
      <c r="M236" s="1"/>
      <c r="N236" s="1"/>
      <c r="O236" s="1"/>
      <c r="P236" s="1"/>
      <c r="Q236" s="1"/>
      <c r="R236" s="1"/>
      <c r="S236" s="1"/>
      <c r="Z236" s="24" t="n">
        <f aca="false">IF($AB236="",0,IF(ISNUMBER($B236),IF(AND($B236&gt;=N($B$3),OR(NOT(ISNUMBER($D$3)),$B236&lt;=$D$3)),1,0),1))</f>
        <v>0</v>
      </c>
      <c r="AA236" s="24" t="n">
        <f aca="false">$AA235*(1+IF($Z236=1,N($G236),0))</f>
        <v>1.0035</v>
      </c>
      <c r="AB236" s="0" t="str">
        <f aca="false">IF($F236="","",IFERROR(INDEX(Cilësimet!$B$6:$B$10,MATCH($F236,Cilësimet!$A$6:$A$10,0)),""))</f>
        <v/>
      </c>
    </row>
    <row r="237" customFormat="false" ht="18.75" hidden="false" customHeight="true" outlineLevel="0" collapsed="false">
      <c r="A237" s="1"/>
      <c r="B237" s="17"/>
      <c r="C237" s="18"/>
      <c r="D237" s="18"/>
      <c r="E237" s="19"/>
      <c r="F237" s="20"/>
      <c r="G237" s="21" t="str">
        <f aca="false">IF($AB237="","",Cilësimet!$C$3*(INDEX(Cilësimet!$C$6:$C$10,MATCH($F237,Cilësimet!$A$6:$A$10,0))*N($E237)+INDEX(Cilësimet!$D$6:$D$10,MATCH($F237,Cilësimet!$A$6:$A$10,0))))</f>
        <v/>
      </c>
      <c r="H237" s="22" t="str">
        <f aca="false">IF($Z237=1,$AA237-1,"")</f>
        <v/>
      </c>
      <c r="I237" s="23"/>
      <c r="J237" s="1"/>
      <c r="K237" s="1"/>
      <c r="L237" s="1"/>
      <c r="M237" s="1"/>
      <c r="N237" s="1"/>
      <c r="O237" s="1"/>
      <c r="P237" s="1"/>
      <c r="Q237" s="1"/>
      <c r="R237" s="1"/>
      <c r="S237" s="1"/>
      <c r="Z237" s="24" t="n">
        <f aca="false">IF($AB237="",0,IF(ISNUMBER($B237),IF(AND($B237&gt;=N($B$3),OR(NOT(ISNUMBER($D$3)),$B237&lt;=$D$3)),1,0),1))</f>
        <v>0</v>
      </c>
      <c r="AA237" s="24" t="n">
        <f aca="false">$AA236*(1+IF($Z237=1,N($G237),0))</f>
        <v>1.0035</v>
      </c>
      <c r="AB237" s="0" t="str">
        <f aca="false">IF($F237="","",IFERROR(INDEX(Cilësimet!$B$6:$B$10,MATCH($F237,Cilësimet!$A$6:$A$10,0)),""))</f>
        <v/>
      </c>
    </row>
    <row r="238" customFormat="false" ht="18.75" hidden="false" customHeight="true" outlineLevel="0" collapsed="false">
      <c r="A238" s="1"/>
      <c r="B238" s="17"/>
      <c r="C238" s="18"/>
      <c r="D238" s="18"/>
      <c r="E238" s="19"/>
      <c r="F238" s="20"/>
      <c r="G238" s="21" t="str">
        <f aca="false">IF($AB238="","",Cilësimet!$C$3*(INDEX(Cilësimet!$C$6:$C$10,MATCH($F238,Cilësimet!$A$6:$A$10,0))*N($E238)+INDEX(Cilësimet!$D$6:$D$10,MATCH($F238,Cilësimet!$A$6:$A$10,0))))</f>
        <v/>
      </c>
      <c r="H238" s="22" t="str">
        <f aca="false">IF($Z238=1,$AA238-1,"")</f>
        <v/>
      </c>
      <c r="I238" s="23"/>
      <c r="J238" s="1"/>
      <c r="K238" s="1"/>
      <c r="L238" s="1"/>
      <c r="M238" s="1"/>
      <c r="N238" s="1"/>
      <c r="O238" s="1"/>
      <c r="P238" s="1"/>
      <c r="Q238" s="1"/>
      <c r="R238" s="1"/>
      <c r="S238" s="1"/>
      <c r="Z238" s="24" t="n">
        <f aca="false">IF($AB238="",0,IF(ISNUMBER($B238),IF(AND($B238&gt;=N($B$3),OR(NOT(ISNUMBER($D$3)),$B238&lt;=$D$3)),1,0),1))</f>
        <v>0</v>
      </c>
      <c r="AA238" s="24" t="n">
        <f aca="false">$AA237*(1+IF($Z238=1,N($G238),0))</f>
        <v>1.0035</v>
      </c>
      <c r="AB238" s="0" t="str">
        <f aca="false">IF($F238="","",IFERROR(INDEX(Cilësimet!$B$6:$B$10,MATCH($F238,Cilësimet!$A$6:$A$10,0)),""))</f>
        <v/>
      </c>
    </row>
    <row r="239" customFormat="false" ht="18.75" hidden="false" customHeight="true" outlineLevel="0" collapsed="false">
      <c r="A239" s="1"/>
      <c r="B239" s="17"/>
      <c r="C239" s="18"/>
      <c r="D239" s="18"/>
      <c r="E239" s="19"/>
      <c r="F239" s="20"/>
      <c r="G239" s="21" t="str">
        <f aca="false">IF($AB239="","",Cilësimet!$C$3*(INDEX(Cilësimet!$C$6:$C$10,MATCH($F239,Cilësimet!$A$6:$A$10,0))*N($E239)+INDEX(Cilësimet!$D$6:$D$10,MATCH($F239,Cilësimet!$A$6:$A$10,0))))</f>
        <v/>
      </c>
      <c r="H239" s="22" t="str">
        <f aca="false">IF($Z239=1,$AA239-1,"")</f>
        <v/>
      </c>
      <c r="I239" s="23"/>
      <c r="J239" s="1"/>
      <c r="K239" s="1"/>
      <c r="L239" s="1"/>
      <c r="M239" s="1"/>
      <c r="N239" s="1"/>
      <c r="O239" s="1"/>
      <c r="P239" s="1"/>
      <c r="Q239" s="1"/>
      <c r="R239" s="1"/>
      <c r="S239" s="1"/>
      <c r="Z239" s="24" t="n">
        <f aca="false">IF($AB239="",0,IF(ISNUMBER($B239),IF(AND($B239&gt;=N($B$3),OR(NOT(ISNUMBER($D$3)),$B239&lt;=$D$3)),1,0),1))</f>
        <v>0</v>
      </c>
      <c r="AA239" s="24" t="n">
        <f aca="false">$AA238*(1+IF($Z239=1,N($G239),0))</f>
        <v>1.0035</v>
      </c>
      <c r="AB239" s="0" t="str">
        <f aca="false">IF($F239="","",IFERROR(INDEX(Cilësimet!$B$6:$B$10,MATCH($F239,Cilësimet!$A$6:$A$10,0)),""))</f>
        <v/>
      </c>
    </row>
    <row r="240" customFormat="false" ht="18.75" hidden="false" customHeight="true" outlineLevel="0" collapsed="false">
      <c r="A240" s="1"/>
      <c r="B240" s="17"/>
      <c r="C240" s="18"/>
      <c r="D240" s="18"/>
      <c r="E240" s="19"/>
      <c r="F240" s="20"/>
      <c r="G240" s="21" t="str">
        <f aca="false">IF($AB240="","",Cilësimet!$C$3*(INDEX(Cilësimet!$C$6:$C$10,MATCH($F240,Cilësimet!$A$6:$A$10,0))*N($E240)+INDEX(Cilësimet!$D$6:$D$10,MATCH($F240,Cilësimet!$A$6:$A$10,0))))</f>
        <v/>
      </c>
      <c r="H240" s="22" t="str">
        <f aca="false">IF($Z240=1,$AA240-1,"")</f>
        <v/>
      </c>
      <c r="I240" s="23"/>
      <c r="J240" s="1"/>
      <c r="K240" s="1"/>
      <c r="L240" s="1"/>
      <c r="M240" s="1"/>
      <c r="N240" s="1"/>
      <c r="O240" s="1"/>
      <c r="P240" s="1"/>
      <c r="Q240" s="1"/>
      <c r="R240" s="1"/>
      <c r="S240" s="1"/>
      <c r="Z240" s="24" t="n">
        <f aca="false">IF($AB240="",0,IF(ISNUMBER($B240),IF(AND($B240&gt;=N($B$3),OR(NOT(ISNUMBER($D$3)),$B240&lt;=$D$3)),1,0),1))</f>
        <v>0</v>
      </c>
      <c r="AA240" s="24" t="n">
        <f aca="false">$AA239*(1+IF($Z240=1,N($G240),0))</f>
        <v>1.0035</v>
      </c>
      <c r="AB240" s="0" t="str">
        <f aca="false">IF($F240="","",IFERROR(INDEX(Cilësimet!$B$6:$B$10,MATCH($F240,Cilësimet!$A$6:$A$10,0)),""))</f>
        <v/>
      </c>
    </row>
    <row r="241" customFormat="false" ht="18.75" hidden="false" customHeight="true" outlineLevel="0" collapsed="false">
      <c r="A241" s="1"/>
      <c r="B241" s="17"/>
      <c r="C241" s="18"/>
      <c r="D241" s="18"/>
      <c r="E241" s="19"/>
      <c r="F241" s="20"/>
      <c r="G241" s="21" t="str">
        <f aca="false">IF($AB241="","",Cilësimet!$C$3*(INDEX(Cilësimet!$C$6:$C$10,MATCH($F241,Cilësimet!$A$6:$A$10,0))*N($E241)+INDEX(Cilësimet!$D$6:$D$10,MATCH($F241,Cilësimet!$A$6:$A$10,0))))</f>
        <v/>
      </c>
      <c r="H241" s="22" t="str">
        <f aca="false">IF($Z241=1,$AA241-1,"")</f>
        <v/>
      </c>
      <c r="I241" s="23"/>
      <c r="J241" s="1"/>
      <c r="K241" s="1"/>
      <c r="L241" s="1"/>
      <c r="M241" s="1"/>
      <c r="N241" s="1"/>
      <c r="O241" s="1"/>
      <c r="P241" s="1"/>
      <c r="Q241" s="1"/>
      <c r="R241" s="1"/>
      <c r="S241" s="1"/>
      <c r="Z241" s="24" t="n">
        <f aca="false">IF($AB241="",0,IF(ISNUMBER($B241),IF(AND($B241&gt;=N($B$3),OR(NOT(ISNUMBER($D$3)),$B241&lt;=$D$3)),1,0),1))</f>
        <v>0</v>
      </c>
      <c r="AA241" s="24" t="n">
        <f aca="false">$AA240*(1+IF($Z241=1,N($G241),0))</f>
        <v>1.0035</v>
      </c>
      <c r="AB241" s="0" t="str">
        <f aca="false">IF($F241="","",IFERROR(INDEX(Cilësimet!$B$6:$B$10,MATCH($F241,Cilësimet!$A$6:$A$10,0)),""))</f>
        <v/>
      </c>
    </row>
    <row r="242" customFormat="false" ht="18.75" hidden="false" customHeight="true" outlineLevel="0" collapsed="false">
      <c r="A242" s="1"/>
      <c r="B242" s="17"/>
      <c r="C242" s="18"/>
      <c r="D242" s="18"/>
      <c r="E242" s="19"/>
      <c r="F242" s="20"/>
      <c r="G242" s="21" t="str">
        <f aca="false">IF($AB242="","",Cilësimet!$C$3*(INDEX(Cilësimet!$C$6:$C$10,MATCH($F242,Cilësimet!$A$6:$A$10,0))*N($E242)+INDEX(Cilësimet!$D$6:$D$10,MATCH($F242,Cilësimet!$A$6:$A$10,0))))</f>
        <v/>
      </c>
      <c r="H242" s="22" t="str">
        <f aca="false">IF($Z242=1,$AA242-1,"")</f>
        <v/>
      </c>
      <c r="I242" s="23"/>
      <c r="J242" s="1"/>
      <c r="K242" s="1"/>
      <c r="L242" s="1"/>
      <c r="M242" s="1"/>
      <c r="N242" s="1"/>
      <c r="O242" s="1"/>
      <c r="P242" s="1"/>
      <c r="Q242" s="1"/>
      <c r="R242" s="1"/>
      <c r="S242" s="1"/>
      <c r="Z242" s="24" t="n">
        <f aca="false">IF($AB242="",0,IF(ISNUMBER($B242),IF(AND($B242&gt;=N($B$3),OR(NOT(ISNUMBER($D$3)),$B242&lt;=$D$3)),1,0),1))</f>
        <v>0</v>
      </c>
      <c r="AA242" s="24" t="n">
        <f aca="false">$AA241*(1+IF($Z242=1,N($G242),0))</f>
        <v>1.0035</v>
      </c>
      <c r="AB242" s="0" t="str">
        <f aca="false">IF($F242="","",IFERROR(INDEX(Cilësimet!$B$6:$B$10,MATCH($F242,Cilësimet!$A$6:$A$10,0)),""))</f>
        <v/>
      </c>
    </row>
    <row r="243" customFormat="false" ht="18.75" hidden="false" customHeight="true" outlineLevel="0" collapsed="false">
      <c r="A243" s="1"/>
      <c r="B243" s="17"/>
      <c r="C243" s="18"/>
      <c r="D243" s="18"/>
      <c r="E243" s="19"/>
      <c r="F243" s="20"/>
      <c r="G243" s="21" t="str">
        <f aca="false">IF($AB243="","",Cilësimet!$C$3*(INDEX(Cilësimet!$C$6:$C$10,MATCH($F243,Cilësimet!$A$6:$A$10,0))*N($E243)+INDEX(Cilësimet!$D$6:$D$10,MATCH($F243,Cilësimet!$A$6:$A$10,0))))</f>
        <v/>
      </c>
      <c r="H243" s="22" t="str">
        <f aca="false">IF($Z243=1,$AA243-1,"")</f>
        <v/>
      </c>
      <c r="I243" s="23"/>
      <c r="J243" s="1"/>
      <c r="K243" s="1"/>
      <c r="L243" s="1"/>
      <c r="M243" s="1"/>
      <c r="N243" s="1"/>
      <c r="O243" s="1"/>
      <c r="P243" s="1"/>
      <c r="Q243" s="1"/>
      <c r="R243" s="1"/>
      <c r="S243" s="1"/>
      <c r="Z243" s="24" t="n">
        <f aca="false">IF($AB243="",0,IF(ISNUMBER($B243),IF(AND($B243&gt;=N($B$3),OR(NOT(ISNUMBER($D$3)),$B243&lt;=$D$3)),1,0),1))</f>
        <v>0</v>
      </c>
      <c r="AA243" s="24" t="n">
        <f aca="false">$AA242*(1+IF($Z243=1,N($G243),0))</f>
        <v>1.0035</v>
      </c>
      <c r="AB243" s="0" t="str">
        <f aca="false">IF($F243="","",IFERROR(INDEX(Cilësimet!$B$6:$B$10,MATCH($F243,Cilësimet!$A$6:$A$10,0)),""))</f>
        <v/>
      </c>
    </row>
    <row r="244" customFormat="false" ht="18.75" hidden="false" customHeight="true" outlineLevel="0" collapsed="false">
      <c r="A244" s="1"/>
      <c r="B244" s="17"/>
      <c r="C244" s="18"/>
      <c r="D244" s="18"/>
      <c r="E244" s="19"/>
      <c r="F244" s="20"/>
      <c r="G244" s="21" t="str">
        <f aca="false">IF($AB244="","",Cilësimet!$C$3*(INDEX(Cilësimet!$C$6:$C$10,MATCH($F244,Cilësimet!$A$6:$A$10,0))*N($E244)+INDEX(Cilësimet!$D$6:$D$10,MATCH($F244,Cilësimet!$A$6:$A$10,0))))</f>
        <v/>
      </c>
      <c r="H244" s="22" t="str">
        <f aca="false">IF($Z244=1,$AA244-1,"")</f>
        <v/>
      </c>
      <c r="I244" s="23"/>
      <c r="J244" s="1"/>
      <c r="K244" s="1"/>
      <c r="L244" s="1"/>
      <c r="M244" s="1"/>
      <c r="N244" s="1"/>
      <c r="O244" s="1"/>
      <c r="P244" s="1"/>
      <c r="Q244" s="1"/>
      <c r="R244" s="1"/>
      <c r="S244" s="1"/>
      <c r="Z244" s="24" t="n">
        <f aca="false">IF($AB244="",0,IF(ISNUMBER($B244),IF(AND($B244&gt;=N($B$3),OR(NOT(ISNUMBER($D$3)),$B244&lt;=$D$3)),1,0),1))</f>
        <v>0</v>
      </c>
      <c r="AA244" s="24" t="n">
        <f aca="false">$AA243*(1+IF($Z244=1,N($G244),0))</f>
        <v>1.0035</v>
      </c>
      <c r="AB244" s="0" t="str">
        <f aca="false">IF($F244="","",IFERROR(INDEX(Cilësimet!$B$6:$B$10,MATCH($F244,Cilësimet!$A$6:$A$10,0)),""))</f>
        <v/>
      </c>
    </row>
    <row r="245" customFormat="false" ht="18.75" hidden="false" customHeight="true" outlineLevel="0" collapsed="false">
      <c r="A245" s="1"/>
      <c r="B245" s="17"/>
      <c r="C245" s="18"/>
      <c r="D245" s="18"/>
      <c r="E245" s="19"/>
      <c r="F245" s="20"/>
      <c r="G245" s="21" t="str">
        <f aca="false">IF($AB245="","",Cilësimet!$C$3*(INDEX(Cilësimet!$C$6:$C$10,MATCH($F245,Cilësimet!$A$6:$A$10,0))*N($E245)+INDEX(Cilësimet!$D$6:$D$10,MATCH($F245,Cilësimet!$A$6:$A$10,0))))</f>
        <v/>
      </c>
      <c r="H245" s="22" t="str">
        <f aca="false">IF($Z245=1,$AA245-1,"")</f>
        <v/>
      </c>
      <c r="I245" s="23"/>
      <c r="J245" s="1"/>
      <c r="K245" s="1"/>
      <c r="L245" s="1"/>
      <c r="M245" s="1"/>
      <c r="N245" s="1"/>
      <c r="O245" s="1"/>
      <c r="P245" s="1"/>
      <c r="Q245" s="1"/>
      <c r="R245" s="1"/>
      <c r="S245" s="1"/>
      <c r="Z245" s="24" t="n">
        <f aca="false">IF($AB245="",0,IF(ISNUMBER($B245),IF(AND($B245&gt;=N($B$3),OR(NOT(ISNUMBER($D$3)),$B245&lt;=$D$3)),1,0),1))</f>
        <v>0</v>
      </c>
      <c r="AA245" s="24" t="n">
        <f aca="false">$AA244*(1+IF($Z245=1,N($G245),0))</f>
        <v>1.0035</v>
      </c>
      <c r="AB245" s="0" t="str">
        <f aca="false">IF($F245="","",IFERROR(INDEX(Cilësimet!$B$6:$B$10,MATCH($F245,Cilësimet!$A$6:$A$10,0)),""))</f>
        <v/>
      </c>
    </row>
    <row r="246" customFormat="false" ht="18.75" hidden="false" customHeight="true" outlineLevel="0" collapsed="false">
      <c r="A246" s="1"/>
      <c r="B246" s="17"/>
      <c r="C246" s="18"/>
      <c r="D246" s="18"/>
      <c r="E246" s="19"/>
      <c r="F246" s="20"/>
      <c r="G246" s="21" t="str">
        <f aca="false">IF($AB246="","",Cilësimet!$C$3*(INDEX(Cilësimet!$C$6:$C$10,MATCH($F246,Cilësimet!$A$6:$A$10,0))*N($E246)+INDEX(Cilësimet!$D$6:$D$10,MATCH($F246,Cilësimet!$A$6:$A$10,0))))</f>
        <v/>
      </c>
      <c r="H246" s="22" t="str">
        <f aca="false">IF($Z246=1,$AA246-1,"")</f>
        <v/>
      </c>
      <c r="I246" s="23"/>
      <c r="J246" s="1"/>
      <c r="K246" s="1"/>
      <c r="L246" s="1"/>
      <c r="M246" s="1"/>
      <c r="N246" s="1"/>
      <c r="O246" s="1"/>
      <c r="P246" s="1"/>
      <c r="Q246" s="1"/>
      <c r="R246" s="1"/>
      <c r="S246" s="1"/>
      <c r="Z246" s="24" t="n">
        <f aca="false">IF($AB246="",0,IF(ISNUMBER($B246),IF(AND($B246&gt;=N($B$3),OR(NOT(ISNUMBER($D$3)),$B246&lt;=$D$3)),1,0),1))</f>
        <v>0</v>
      </c>
      <c r="AA246" s="24" t="n">
        <f aca="false">$AA245*(1+IF($Z246=1,N($G246),0))</f>
        <v>1.0035</v>
      </c>
      <c r="AB246" s="0" t="str">
        <f aca="false">IF($F246="","",IFERROR(INDEX(Cilësimet!$B$6:$B$10,MATCH($F246,Cilësimet!$A$6:$A$10,0)),""))</f>
        <v/>
      </c>
    </row>
    <row r="247" customFormat="false" ht="18.75" hidden="false" customHeight="true" outlineLevel="0" collapsed="false">
      <c r="A247" s="1"/>
      <c r="B247" s="17"/>
      <c r="C247" s="18"/>
      <c r="D247" s="18"/>
      <c r="E247" s="19"/>
      <c r="F247" s="20"/>
      <c r="G247" s="21" t="str">
        <f aca="false">IF($AB247="","",Cilësimet!$C$3*(INDEX(Cilësimet!$C$6:$C$10,MATCH($F247,Cilësimet!$A$6:$A$10,0))*N($E247)+INDEX(Cilësimet!$D$6:$D$10,MATCH($F247,Cilësimet!$A$6:$A$10,0))))</f>
        <v/>
      </c>
      <c r="H247" s="22" t="str">
        <f aca="false">IF($Z247=1,$AA247-1,"")</f>
        <v/>
      </c>
      <c r="I247" s="23"/>
      <c r="J247" s="1"/>
      <c r="K247" s="1"/>
      <c r="L247" s="1"/>
      <c r="M247" s="1"/>
      <c r="N247" s="1"/>
      <c r="O247" s="1"/>
      <c r="P247" s="1"/>
      <c r="Q247" s="1"/>
      <c r="R247" s="1"/>
      <c r="S247" s="1"/>
      <c r="Z247" s="24" t="n">
        <f aca="false">IF($AB247="",0,IF(ISNUMBER($B247),IF(AND($B247&gt;=N($B$3),OR(NOT(ISNUMBER($D$3)),$B247&lt;=$D$3)),1,0),1))</f>
        <v>0</v>
      </c>
      <c r="AA247" s="24" t="n">
        <f aca="false">$AA246*(1+IF($Z247=1,N($G247),0))</f>
        <v>1.0035</v>
      </c>
      <c r="AB247" s="0" t="str">
        <f aca="false">IF($F247="","",IFERROR(INDEX(Cilësimet!$B$6:$B$10,MATCH($F247,Cilësimet!$A$6:$A$10,0)),""))</f>
        <v/>
      </c>
    </row>
    <row r="248" customFormat="false" ht="18.75" hidden="false" customHeight="true" outlineLevel="0" collapsed="false">
      <c r="A248" s="1"/>
      <c r="B248" s="17"/>
      <c r="C248" s="18"/>
      <c r="D248" s="18"/>
      <c r="E248" s="19"/>
      <c r="F248" s="20"/>
      <c r="G248" s="21" t="str">
        <f aca="false">IF($AB248="","",Cilësimet!$C$3*(INDEX(Cilësimet!$C$6:$C$10,MATCH($F248,Cilësimet!$A$6:$A$10,0))*N($E248)+INDEX(Cilësimet!$D$6:$D$10,MATCH($F248,Cilësimet!$A$6:$A$10,0))))</f>
        <v/>
      </c>
      <c r="H248" s="22" t="str">
        <f aca="false">IF($Z248=1,$AA248-1,"")</f>
        <v/>
      </c>
      <c r="I248" s="23"/>
      <c r="J248" s="1"/>
      <c r="K248" s="1"/>
      <c r="L248" s="1"/>
      <c r="M248" s="1"/>
      <c r="N248" s="1"/>
      <c r="O248" s="1"/>
      <c r="P248" s="1"/>
      <c r="Q248" s="1"/>
      <c r="R248" s="1"/>
      <c r="S248" s="1"/>
      <c r="Z248" s="24" t="n">
        <f aca="false">IF($AB248="",0,IF(ISNUMBER($B248),IF(AND($B248&gt;=N($B$3),OR(NOT(ISNUMBER($D$3)),$B248&lt;=$D$3)),1,0),1))</f>
        <v>0</v>
      </c>
      <c r="AA248" s="24" t="n">
        <f aca="false">$AA247*(1+IF($Z248=1,N($G248),0))</f>
        <v>1.0035</v>
      </c>
      <c r="AB248" s="0" t="str">
        <f aca="false">IF($F248="","",IFERROR(INDEX(Cilësimet!$B$6:$B$10,MATCH($F248,Cilësimet!$A$6:$A$10,0)),""))</f>
        <v/>
      </c>
    </row>
    <row r="249" customFormat="false" ht="18.75" hidden="false" customHeight="true" outlineLevel="0" collapsed="false">
      <c r="A249" s="1"/>
      <c r="B249" s="17"/>
      <c r="C249" s="18"/>
      <c r="D249" s="18"/>
      <c r="E249" s="19"/>
      <c r="F249" s="20"/>
      <c r="G249" s="21" t="str">
        <f aca="false">IF($AB249="","",Cilësimet!$C$3*(INDEX(Cilësimet!$C$6:$C$10,MATCH($F249,Cilësimet!$A$6:$A$10,0))*N($E249)+INDEX(Cilësimet!$D$6:$D$10,MATCH($F249,Cilësimet!$A$6:$A$10,0))))</f>
        <v/>
      </c>
      <c r="H249" s="22" t="str">
        <f aca="false">IF($Z249=1,$AA249-1,"")</f>
        <v/>
      </c>
      <c r="I249" s="23"/>
      <c r="J249" s="1"/>
      <c r="K249" s="1"/>
      <c r="L249" s="1"/>
      <c r="M249" s="1"/>
      <c r="N249" s="1"/>
      <c r="O249" s="1"/>
      <c r="P249" s="1"/>
      <c r="Q249" s="1"/>
      <c r="R249" s="1"/>
      <c r="S249" s="1"/>
      <c r="Z249" s="24" t="n">
        <f aca="false">IF($AB249="",0,IF(ISNUMBER($B249),IF(AND($B249&gt;=N($B$3),OR(NOT(ISNUMBER($D$3)),$B249&lt;=$D$3)),1,0),1))</f>
        <v>0</v>
      </c>
      <c r="AA249" s="24" t="n">
        <f aca="false">$AA248*(1+IF($Z249=1,N($G249),0))</f>
        <v>1.0035</v>
      </c>
      <c r="AB249" s="0" t="str">
        <f aca="false">IF($F249="","",IFERROR(INDEX(Cilësimet!$B$6:$B$10,MATCH($F249,Cilësimet!$A$6:$A$10,0)),""))</f>
        <v/>
      </c>
    </row>
    <row r="250" customFormat="false" ht="18.75" hidden="false" customHeight="true" outlineLevel="0" collapsed="false">
      <c r="A250" s="1"/>
      <c r="B250" s="17"/>
      <c r="C250" s="18"/>
      <c r="D250" s="18"/>
      <c r="E250" s="19"/>
      <c r="F250" s="20"/>
      <c r="G250" s="21" t="str">
        <f aca="false">IF($AB250="","",Cilësimet!$C$3*(INDEX(Cilësimet!$C$6:$C$10,MATCH($F250,Cilësimet!$A$6:$A$10,0))*N($E250)+INDEX(Cilësimet!$D$6:$D$10,MATCH($F250,Cilësimet!$A$6:$A$10,0))))</f>
        <v/>
      </c>
      <c r="H250" s="22" t="str">
        <f aca="false">IF($Z250=1,$AA250-1,"")</f>
        <v/>
      </c>
      <c r="I250" s="23"/>
      <c r="J250" s="1"/>
      <c r="K250" s="1"/>
      <c r="L250" s="1"/>
      <c r="M250" s="1"/>
      <c r="N250" s="1"/>
      <c r="O250" s="1"/>
      <c r="P250" s="1"/>
      <c r="Q250" s="1"/>
      <c r="R250" s="1"/>
      <c r="S250" s="1"/>
      <c r="Z250" s="24" t="n">
        <f aca="false">IF($AB250="",0,IF(ISNUMBER($B250),IF(AND($B250&gt;=N($B$3),OR(NOT(ISNUMBER($D$3)),$B250&lt;=$D$3)),1,0),1))</f>
        <v>0</v>
      </c>
      <c r="AA250" s="24" t="n">
        <f aca="false">$AA249*(1+IF($Z250=1,N($G250),0))</f>
        <v>1.0035</v>
      </c>
      <c r="AB250" s="0" t="str">
        <f aca="false">IF($F250="","",IFERROR(INDEX(Cilësimet!$B$6:$B$10,MATCH($F250,Cilësimet!$A$6:$A$10,0)),""))</f>
        <v/>
      </c>
    </row>
    <row r="251" customFormat="false" ht="18.75" hidden="false" customHeight="true" outlineLevel="0" collapsed="false">
      <c r="A251" s="1"/>
      <c r="B251" s="17"/>
      <c r="C251" s="18"/>
      <c r="D251" s="18"/>
      <c r="E251" s="19"/>
      <c r="F251" s="20"/>
      <c r="G251" s="21" t="str">
        <f aca="false">IF($AB251="","",Cilësimet!$C$3*(INDEX(Cilësimet!$C$6:$C$10,MATCH($F251,Cilësimet!$A$6:$A$10,0))*N($E251)+INDEX(Cilësimet!$D$6:$D$10,MATCH($F251,Cilësimet!$A$6:$A$10,0))))</f>
        <v/>
      </c>
      <c r="H251" s="22" t="str">
        <f aca="false">IF($Z251=1,$AA251-1,"")</f>
        <v/>
      </c>
      <c r="I251" s="23"/>
      <c r="J251" s="1"/>
      <c r="K251" s="1"/>
      <c r="L251" s="1"/>
      <c r="M251" s="1"/>
      <c r="N251" s="1"/>
      <c r="O251" s="1"/>
      <c r="P251" s="1"/>
      <c r="Q251" s="1"/>
      <c r="R251" s="1"/>
      <c r="S251" s="1"/>
      <c r="Z251" s="24" t="n">
        <f aca="false">IF($AB251="",0,IF(ISNUMBER($B251),IF(AND($B251&gt;=N($B$3),OR(NOT(ISNUMBER($D$3)),$B251&lt;=$D$3)),1,0),1))</f>
        <v>0</v>
      </c>
      <c r="AA251" s="24" t="n">
        <f aca="false">$AA250*(1+IF($Z251=1,N($G251),0))</f>
        <v>1.0035</v>
      </c>
      <c r="AB251" s="0" t="str">
        <f aca="false">IF($F251="","",IFERROR(INDEX(Cilësimet!$B$6:$B$10,MATCH($F251,Cilësimet!$A$6:$A$10,0)),""))</f>
        <v/>
      </c>
    </row>
    <row r="252" customFormat="false" ht="18.75" hidden="false" customHeight="true" outlineLevel="0" collapsed="false">
      <c r="A252" s="1"/>
      <c r="B252" s="17"/>
      <c r="C252" s="18"/>
      <c r="D252" s="18"/>
      <c r="E252" s="19"/>
      <c r="F252" s="20"/>
      <c r="G252" s="21" t="str">
        <f aca="false">IF($AB252="","",Cilësimet!$C$3*(INDEX(Cilësimet!$C$6:$C$10,MATCH($F252,Cilësimet!$A$6:$A$10,0))*N($E252)+INDEX(Cilësimet!$D$6:$D$10,MATCH($F252,Cilësimet!$A$6:$A$10,0))))</f>
        <v/>
      </c>
      <c r="H252" s="22" t="str">
        <f aca="false">IF($Z252=1,$AA252-1,"")</f>
        <v/>
      </c>
      <c r="I252" s="23"/>
      <c r="J252" s="1"/>
      <c r="K252" s="1"/>
      <c r="L252" s="1"/>
      <c r="M252" s="1"/>
      <c r="N252" s="1"/>
      <c r="O252" s="1"/>
      <c r="P252" s="1"/>
      <c r="Q252" s="1"/>
      <c r="R252" s="1"/>
      <c r="S252" s="1"/>
      <c r="Z252" s="24" t="n">
        <f aca="false">IF($AB252="",0,IF(ISNUMBER($B252),IF(AND($B252&gt;=N($B$3),OR(NOT(ISNUMBER($D$3)),$B252&lt;=$D$3)),1,0),1))</f>
        <v>0</v>
      </c>
      <c r="AA252" s="24" t="n">
        <f aca="false">$AA251*(1+IF($Z252=1,N($G252),0))</f>
        <v>1.0035</v>
      </c>
      <c r="AB252" s="0" t="str">
        <f aca="false">IF($F252="","",IFERROR(INDEX(Cilësimet!$B$6:$B$10,MATCH($F252,Cilësimet!$A$6:$A$10,0)),""))</f>
        <v/>
      </c>
    </row>
    <row r="253" customFormat="false" ht="18.75" hidden="false" customHeight="true" outlineLevel="0" collapsed="false">
      <c r="A253" s="1"/>
      <c r="B253" s="17"/>
      <c r="C253" s="18"/>
      <c r="D253" s="18"/>
      <c r="E253" s="19"/>
      <c r="F253" s="20"/>
      <c r="G253" s="21" t="str">
        <f aca="false">IF($AB253="","",Cilësimet!$C$3*(INDEX(Cilësimet!$C$6:$C$10,MATCH($F253,Cilësimet!$A$6:$A$10,0))*N($E253)+INDEX(Cilësimet!$D$6:$D$10,MATCH($F253,Cilësimet!$A$6:$A$10,0))))</f>
        <v/>
      </c>
      <c r="H253" s="22" t="str">
        <f aca="false">IF($Z253=1,$AA253-1,"")</f>
        <v/>
      </c>
      <c r="I253" s="23"/>
      <c r="J253" s="1"/>
      <c r="K253" s="1"/>
      <c r="L253" s="1"/>
      <c r="M253" s="1"/>
      <c r="N253" s="1"/>
      <c r="O253" s="1"/>
      <c r="P253" s="1"/>
      <c r="Q253" s="1"/>
      <c r="R253" s="1"/>
      <c r="S253" s="1"/>
      <c r="Z253" s="24" t="n">
        <f aca="false">IF($AB253="",0,IF(ISNUMBER($B253),IF(AND($B253&gt;=N($B$3),OR(NOT(ISNUMBER($D$3)),$B253&lt;=$D$3)),1,0),1))</f>
        <v>0</v>
      </c>
      <c r="AA253" s="24" t="n">
        <f aca="false">$AA252*(1+IF($Z253=1,N($G253),0))</f>
        <v>1.0035</v>
      </c>
      <c r="AB253" s="0" t="str">
        <f aca="false">IF($F253="","",IFERROR(INDEX(Cilësimet!$B$6:$B$10,MATCH($F253,Cilësimet!$A$6:$A$10,0)),""))</f>
        <v/>
      </c>
    </row>
    <row r="254" customFormat="false" ht="18.75" hidden="false" customHeight="true" outlineLevel="0" collapsed="false">
      <c r="A254" s="1"/>
      <c r="B254" s="17"/>
      <c r="C254" s="18"/>
      <c r="D254" s="18"/>
      <c r="E254" s="19"/>
      <c r="F254" s="20"/>
      <c r="G254" s="21" t="str">
        <f aca="false">IF($AB254="","",Cilësimet!$C$3*(INDEX(Cilësimet!$C$6:$C$10,MATCH($F254,Cilësimet!$A$6:$A$10,0))*N($E254)+INDEX(Cilësimet!$D$6:$D$10,MATCH($F254,Cilësimet!$A$6:$A$10,0))))</f>
        <v/>
      </c>
      <c r="H254" s="22" t="str">
        <f aca="false">IF($Z254=1,$AA254-1,"")</f>
        <v/>
      </c>
      <c r="I254" s="23"/>
      <c r="J254" s="1"/>
      <c r="K254" s="1"/>
      <c r="L254" s="1"/>
      <c r="M254" s="1"/>
      <c r="N254" s="1"/>
      <c r="O254" s="1"/>
      <c r="P254" s="1"/>
      <c r="Q254" s="1"/>
      <c r="R254" s="1"/>
      <c r="S254" s="1"/>
      <c r="Z254" s="24" t="n">
        <f aca="false">IF($AB254="",0,IF(ISNUMBER($B254),IF(AND($B254&gt;=N($B$3),OR(NOT(ISNUMBER($D$3)),$B254&lt;=$D$3)),1,0),1))</f>
        <v>0</v>
      </c>
      <c r="AA254" s="24" t="n">
        <f aca="false">$AA253*(1+IF($Z254=1,N($G254),0))</f>
        <v>1.0035</v>
      </c>
      <c r="AB254" s="0" t="str">
        <f aca="false">IF($F254="","",IFERROR(INDEX(Cilësimet!$B$6:$B$10,MATCH($F254,Cilësimet!$A$6:$A$10,0)),""))</f>
        <v/>
      </c>
    </row>
    <row r="255" customFormat="false" ht="18.75" hidden="false" customHeight="true" outlineLevel="0" collapsed="false">
      <c r="A255" s="1"/>
      <c r="B255" s="17"/>
      <c r="C255" s="18"/>
      <c r="D255" s="18"/>
      <c r="E255" s="19"/>
      <c r="F255" s="20"/>
      <c r="G255" s="21" t="str">
        <f aca="false">IF($AB255="","",Cilësimet!$C$3*(INDEX(Cilësimet!$C$6:$C$10,MATCH($F255,Cilësimet!$A$6:$A$10,0))*N($E255)+INDEX(Cilësimet!$D$6:$D$10,MATCH($F255,Cilësimet!$A$6:$A$10,0))))</f>
        <v/>
      </c>
      <c r="H255" s="22" t="str">
        <f aca="false">IF($Z255=1,$AA255-1,"")</f>
        <v/>
      </c>
      <c r="I255" s="23"/>
      <c r="J255" s="1"/>
      <c r="K255" s="1"/>
      <c r="L255" s="1"/>
      <c r="M255" s="1"/>
      <c r="N255" s="1"/>
      <c r="O255" s="1"/>
      <c r="P255" s="1"/>
      <c r="Q255" s="1"/>
      <c r="R255" s="1"/>
      <c r="S255" s="1"/>
      <c r="Z255" s="24" t="n">
        <f aca="false">IF($AB255="",0,IF(ISNUMBER($B255),IF(AND($B255&gt;=N($B$3),OR(NOT(ISNUMBER($D$3)),$B255&lt;=$D$3)),1,0),1))</f>
        <v>0</v>
      </c>
      <c r="AA255" s="24" t="n">
        <f aca="false">$AA254*(1+IF($Z255=1,N($G255),0))</f>
        <v>1.0035</v>
      </c>
      <c r="AB255" s="0" t="str">
        <f aca="false">IF($F255="","",IFERROR(INDEX(Cilësimet!$B$6:$B$10,MATCH($F255,Cilësimet!$A$6:$A$10,0)),""))</f>
        <v/>
      </c>
    </row>
    <row r="256" customFormat="false" ht="18.75" hidden="false" customHeight="true" outlineLevel="0" collapsed="false">
      <c r="A256" s="1"/>
      <c r="B256" s="17"/>
      <c r="C256" s="18"/>
      <c r="D256" s="18"/>
      <c r="E256" s="19"/>
      <c r="F256" s="20"/>
      <c r="G256" s="21" t="str">
        <f aca="false">IF($AB256="","",Cilësimet!$C$3*(INDEX(Cilësimet!$C$6:$C$10,MATCH($F256,Cilësimet!$A$6:$A$10,0))*N($E256)+INDEX(Cilësimet!$D$6:$D$10,MATCH($F256,Cilësimet!$A$6:$A$10,0))))</f>
        <v/>
      </c>
      <c r="H256" s="22" t="str">
        <f aca="false">IF($Z256=1,$AA256-1,"")</f>
        <v/>
      </c>
      <c r="I256" s="23"/>
      <c r="J256" s="1"/>
      <c r="K256" s="1"/>
      <c r="L256" s="1"/>
      <c r="M256" s="1"/>
      <c r="N256" s="1"/>
      <c r="O256" s="1"/>
      <c r="P256" s="1"/>
      <c r="Q256" s="1"/>
      <c r="R256" s="1"/>
      <c r="S256" s="1"/>
      <c r="Z256" s="24" t="n">
        <f aca="false">IF($AB256="",0,IF(ISNUMBER($B256),IF(AND($B256&gt;=N($B$3),OR(NOT(ISNUMBER($D$3)),$B256&lt;=$D$3)),1,0),1))</f>
        <v>0</v>
      </c>
      <c r="AA256" s="24" t="n">
        <f aca="false">$AA255*(1+IF($Z256=1,N($G256),0))</f>
        <v>1.0035</v>
      </c>
      <c r="AB256" s="0" t="str">
        <f aca="false">IF($F256="","",IFERROR(INDEX(Cilësimet!$B$6:$B$10,MATCH($F256,Cilësimet!$A$6:$A$10,0)),""))</f>
        <v/>
      </c>
    </row>
    <row r="257" customFormat="false" ht="18.75" hidden="false" customHeight="true" outlineLevel="0" collapsed="false">
      <c r="A257" s="1"/>
      <c r="B257" s="17"/>
      <c r="C257" s="18"/>
      <c r="D257" s="18"/>
      <c r="E257" s="19"/>
      <c r="F257" s="20"/>
      <c r="G257" s="21" t="str">
        <f aca="false">IF($AB257="","",Cilësimet!$C$3*(INDEX(Cilësimet!$C$6:$C$10,MATCH($F257,Cilësimet!$A$6:$A$10,0))*N($E257)+INDEX(Cilësimet!$D$6:$D$10,MATCH($F257,Cilësimet!$A$6:$A$10,0))))</f>
        <v/>
      </c>
      <c r="H257" s="22" t="str">
        <f aca="false">IF($Z257=1,$AA257-1,"")</f>
        <v/>
      </c>
      <c r="I257" s="23"/>
      <c r="J257" s="1"/>
      <c r="K257" s="1"/>
      <c r="L257" s="1"/>
      <c r="M257" s="1"/>
      <c r="N257" s="1"/>
      <c r="O257" s="1"/>
      <c r="P257" s="1"/>
      <c r="Q257" s="1"/>
      <c r="R257" s="1"/>
      <c r="S257" s="1"/>
      <c r="Z257" s="24" t="n">
        <f aca="false">IF($AB257="",0,IF(ISNUMBER($B257),IF(AND($B257&gt;=N($B$3),OR(NOT(ISNUMBER($D$3)),$B257&lt;=$D$3)),1,0),1))</f>
        <v>0</v>
      </c>
      <c r="AA257" s="24" t="n">
        <f aca="false">$AA256*(1+IF($Z257=1,N($G257),0))</f>
        <v>1.0035</v>
      </c>
      <c r="AB257" s="0" t="str">
        <f aca="false">IF($F257="","",IFERROR(INDEX(Cilësimet!$B$6:$B$10,MATCH($F257,Cilësimet!$A$6:$A$10,0)),""))</f>
        <v/>
      </c>
    </row>
    <row r="258" customFormat="false" ht="18.75" hidden="false" customHeight="true" outlineLevel="0" collapsed="false">
      <c r="A258" s="1"/>
      <c r="B258" s="17"/>
      <c r="C258" s="18"/>
      <c r="D258" s="18"/>
      <c r="E258" s="19"/>
      <c r="F258" s="20"/>
      <c r="G258" s="21" t="str">
        <f aca="false">IF($AB258="","",Cilësimet!$C$3*(INDEX(Cilësimet!$C$6:$C$10,MATCH($F258,Cilësimet!$A$6:$A$10,0))*N($E258)+INDEX(Cilësimet!$D$6:$D$10,MATCH($F258,Cilësimet!$A$6:$A$10,0))))</f>
        <v/>
      </c>
      <c r="H258" s="22" t="str">
        <f aca="false">IF($Z258=1,$AA258-1,"")</f>
        <v/>
      </c>
      <c r="I258" s="23"/>
      <c r="J258" s="1"/>
      <c r="K258" s="1"/>
      <c r="L258" s="1"/>
      <c r="M258" s="1"/>
      <c r="N258" s="1"/>
      <c r="O258" s="1"/>
      <c r="P258" s="1"/>
      <c r="Q258" s="1"/>
      <c r="R258" s="1"/>
      <c r="S258" s="1"/>
      <c r="Z258" s="24" t="n">
        <f aca="false">IF($AB258="",0,IF(ISNUMBER($B258),IF(AND($B258&gt;=N($B$3),OR(NOT(ISNUMBER($D$3)),$B258&lt;=$D$3)),1,0),1))</f>
        <v>0</v>
      </c>
      <c r="AA258" s="24" t="n">
        <f aca="false">$AA257*(1+IF($Z258=1,N($G258),0))</f>
        <v>1.0035</v>
      </c>
      <c r="AB258" s="0" t="str">
        <f aca="false">IF($F258="","",IFERROR(INDEX(Cilësimet!$B$6:$B$10,MATCH($F258,Cilësimet!$A$6:$A$10,0)),""))</f>
        <v/>
      </c>
    </row>
    <row r="259" customFormat="false" ht="18.75" hidden="false" customHeight="true" outlineLevel="0" collapsed="false">
      <c r="A259" s="1"/>
      <c r="B259" s="17"/>
      <c r="C259" s="18"/>
      <c r="D259" s="18"/>
      <c r="E259" s="19"/>
      <c r="F259" s="20"/>
      <c r="G259" s="21" t="str">
        <f aca="false">IF($AB259="","",Cilësimet!$C$3*(INDEX(Cilësimet!$C$6:$C$10,MATCH($F259,Cilësimet!$A$6:$A$10,0))*N($E259)+INDEX(Cilësimet!$D$6:$D$10,MATCH($F259,Cilësimet!$A$6:$A$10,0))))</f>
        <v/>
      </c>
      <c r="H259" s="22" t="str">
        <f aca="false">IF($Z259=1,$AA259-1,"")</f>
        <v/>
      </c>
      <c r="I259" s="23"/>
      <c r="J259" s="1"/>
      <c r="K259" s="1"/>
      <c r="L259" s="1"/>
      <c r="M259" s="1"/>
      <c r="N259" s="1"/>
      <c r="O259" s="1"/>
      <c r="P259" s="1"/>
      <c r="Q259" s="1"/>
      <c r="R259" s="1"/>
      <c r="S259" s="1"/>
      <c r="Z259" s="24" t="n">
        <f aca="false">IF($AB259="",0,IF(ISNUMBER($B259),IF(AND($B259&gt;=N($B$3),OR(NOT(ISNUMBER($D$3)),$B259&lt;=$D$3)),1,0),1))</f>
        <v>0</v>
      </c>
      <c r="AA259" s="24" t="n">
        <f aca="false">$AA258*(1+IF($Z259=1,N($G259),0))</f>
        <v>1.0035</v>
      </c>
      <c r="AB259" s="0" t="str">
        <f aca="false">IF($F259="","",IFERROR(INDEX(Cilësimet!$B$6:$B$10,MATCH($F259,Cilësimet!$A$6:$A$10,0)),""))</f>
        <v/>
      </c>
    </row>
    <row r="260" customFormat="false" ht="18.75" hidden="false" customHeight="true" outlineLevel="0" collapsed="false">
      <c r="A260" s="1"/>
      <c r="B260" s="17"/>
      <c r="C260" s="18"/>
      <c r="D260" s="18"/>
      <c r="E260" s="19"/>
      <c r="F260" s="20"/>
      <c r="G260" s="21" t="str">
        <f aca="false">IF($AB260="","",Cilësimet!$C$3*(INDEX(Cilësimet!$C$6:$C$10,MATCH($F260,Cilësimet!$A$6:$A$10,0))*N($E260)+INDEX(Cilësimet!$D$6:$D$10,MATCH($F260,Cilësimet!$A$6:$A$10,0))))</f>
        <v/>
      </c>
      <c r="H260" s="22" t="str">
        <f aca="false">IF($Z260=1,$AA260-1,"")</f>
        <v/>
      </c>
      <c r="I260" s="23"/>
      <c r="J260" s="1"/>
      <c r="K260" s="1"/>
      <c r="L260" s="1"/>
      <c r="M260" s="1"/>
      <c r="N260" s="1"/>
      <c r="O260" s="1"/>
      <c r="P260" s="1"/>
      <c r="Q260" s="1"/>
      <c r="R260" s="1"/>
      <c r="S260" s="1"/>
      <c r="Z260" s="24" t="n">
        <f aca="false">IF($AB260="",0,IF(ISNUMBER($B260),IF(AND($B260&gt;=N($B$3),OR(NOT(ISNUMBER($D$3)),$B260&lt;=$D$3)),1,0),1))</f>
        <v>0</v>
      </c>
      <c r="AA260" s="24" t="n">
        <f aca="false">$AA259*(1+IF($Z260=1,N($G260),0))</f>
        <v>1.0035</v>
      </c>
      <c r="AB260" s="0" t="str">
        <f aca="false">IF($F260="","",IFERROR(INDEX(Cilësimet!$B$6:$B$10,MATCH($F260,Cilësimet!$A$6:$A$10,0)),""))</f>
        <v/>
      </c>
    </row>
    <row r="261" customFormat="false" ht="18.75" hidden="false" customHeight="true" outlineLevel="0" collapsed="false">
      <c r="A261" s="1"/>
      <c r="B261" s="17"/>
      <c r="C261" s="18"/>
      <c r="D261" s="18"/>
      <c r="E261" s="19"/>
      <c r="F261" s="20"/>
      <c r="G261" s="21" t="str">
        <f aca="false">IF($AB261="","",Cilësimet!$C$3*(INDEX(Cilësimet!$C$6:$C$10,MATCH($F261,Cilësimet!$A$6:$A$10,0))*N($E261)+INDEX(Cilësimet!$D$6:$D$10,MATCH($F261,Cilësimet!$A$6:$A$10,0))))</f>
        <v/>
      </c>
      <c r="H261" s="22" t="str">
        <f aca="false">IF($Z261=1,$AA261-1,"")</f>
        <v/>
      </c>
      <c r="I261" s="23"/>
      <c r="J261" s="1"/>
      <c r="K261" s="1"/>
      <c r="L261" s="1"/>
      <c r="M261" s="1"/>
      <c r="N261" s="1"/>
      <c r="O261" s="1"/>
      <c r="P261" s="1"/>
      <c r="Q261" s="1"/>
      <c r="R261" s="1"/>
      <c r="S261" s="1"/>
      <c r="Z261" s="24" t="n">
        <f aca="false">IF($AB261="",0,IF(ISNUMBER($B261),IF(AND($B261&gt;=N($B$3),OR(NOT(ISNUMBER($D$3)),$B261&lt;=$D$3)),1,0),1))</f>
        <v>0</v>
      </c>
      <c r="AA261" s="24" t="n">
        <f aca="false">$AA260*(1+IF($Z261=1,N($G261),0))</f>
        <v>1.0035</v>
      </c>
      <c r="AB261" s="0" t="str">
        <f aca="false">IF($F261="","",IFERROR(INDEX(Cilësimet!$B$6:$B$10,MATCH($F261,Cilësimet!$A$6:$A$10,0)),""))</f>
        <v/>
      </c>
    </row>
    <row r="262" customFormat="false" ht="18.75" hidden="false" customHeight="true" outlineLevel="0" collapsed="false">
      <c r="A262" s="1"/>
      <c r="B262" s="17"/>
      <c r="C262" s="18"/>
      <c r="D262" s="18"/>
      <c r="E262" s="19"/>
      <c r="F262" s="20"/>
      <c r="G262" s="21" t="str">
        <f aca="false">IF($AB262="","",Cilësimet!$C$3*(INDEX(Cilësimet!$C$6:$C$10,MATCH($F262,Cilësimet!$A$6:$A$10,0))*N($E262)+INDEX(Cilësimet!$D$6:$D$10,MATCH($F262,Cilësimet!$A$6:$A$10,0))))</f>
        <v/>
      </c>
      <c r="H262" s="22" t="str">
        <f aca="false">IF($Z262=1,$AA262-1,"")</f>
        <v/>
      </c>
      <c r="I262" s="23"/>
      <c r="J262" s="1"/>
      <c r="K262" s="1"/>
      <c r="L262" s="1"/>
      <c r="M262" s="1"/>
      <c r="N262" s="1"/>
      <c r="O262" s="1"/>
      <c r="P262" s="1"/>
      <c r="Q262" s="1"/>
      <c r="R262" s="1"/>
      <c r="S262" s="1"/>
      <c r="Z262" s="24" t="n">
        <f aca="false">IF($AB262="",0,IF(ISNUMBER($B262),IF(AND($B262&gt;=N($B$3),OR(NOT(ISNUMBER($D$3)),$B262&lt;=$D$3)),1,0),1))</f>
        <v>0</v>
      </c>
      <c r="AA262" s="24" t="n">
        <f aca="false">$AA261*(1+IF($Z262=1,N($G262),0))</f>
        <v>1.0035</v>
      </c>
      <c r="AB262" s="0" t="str">
        <f aca="false">IF($F262="","",IFERROR(INDEX(Cilësimet!$B$6:$B$10,MATCH($F262,Cilësimet!$A$6:$A$10,0)),""))</f>
        <v/>
      </c>
    </row>
    <row r="263" customFormat="false" ht="18.75" hidden="false" customHeight="true" outlineLevel="0" collapsed="false">
      <c r="A263" s="1"/>
      <c r="B263" s="17"/>
      <c r="C263" s="18"/>
      <c r="D263" s="18"/>
      <c r="E263" s="19"/>
      <c r="F263" s="20"/>
      <c r="G263" s="21" t="str">
        <f aca="false">IF($AB263="","",Cilësimet!$C$3*(INDEX(Cilësimet!$C$6:$C$10,MATCH($F263,Cilësimet!$A$6:$A$10,0))*N($E263)+INDEX(Cilësimet!$D$6:$D$10,MATCH($F263,Cilësimet!$A$6:$A$10,0))))</f>
        <v/>
      </c>
      <c r="H263" s="22" t="str">
        <f aca="false">IF($Z263=1,$AA263-1,"")</f>
        <v/>
      </c>
      <c r="I263" s="23"/>
      <c r="J263" s="1"/>
      <c r="K263" s="1"/>
      <c r="L263" s="1"/>
      <c r="M263" s="1"/>
      <c r="N263" s="1"/>
      <c r="O263" s="1"/>
      <c r="P263" s="1"/>
      <c r="Q263" s="1"/>
      <c r="R263" s="1"/>
      <c r="S263" s="1"/>
      <c r="Z263" s="24" t="n">
        <f aca="false">IF($AB263="",0,IF(ISNUMBER($B263),IF(AND($B263&gt;=N($B$3),OR(NOT(ISNUMBER($D$3)),$B263&lt;=$D$3)),1,0),1))</f>
        <v>0</v>
      </c>
      <c r="AA263" s="24" t="n">
        <f aca="false">$AA262*(1+IF($Z263=1,N($G263),0))</f>
        <v>1.0035</v>
      </c>
      <c r="AB263" s="0" t="str">
        <f aca="false">IF($F263="","",IFERROR(INDEX(Cilësimet!$B$6:$B$10,MATCH($F263,Cilësimet!$A$6:$A$10,0)),""))</f>
        <v/>
      </c>
    </row>
    <row r="264" customFormat="false" ht="18.75" hidden="false" customHeight="true" outlineLevel="0" collapsed="false">
      <c r="A264" s="1"/>
      <c r="B264" s="17"/>
      <c r="C264" s="18"/>
      <c r="D264" s="18"/>
      <c r="E264" s="19"/>
      <c r="F264" s="20"/>
      <c r="G264" s="21" t="str">
        <f aca="false">IF($AB264="","",Cilësimet!$C$3*(INDEX(Cilësimet!$C$6:$C$10,MATCH($F264,Cilësimet!$A$6:$A$10,0))*N($E264)+INDEX(Cilësimet!$D$6:$D$10,MATCH($F264,Cilësimet!$A$6:$A$10,0))))</f>
        <v/>
      </c>
      <c r="H264" s="22" t="str">
        <f aca="false">IF($Z264=1,$AA264-1,"")</f>
        <v/>
      </c>
      <c r="I264" s="23"/>
      <c r="J264" s="1"/>
      <c r="K264" s="1"/>
      <c r="L264" s="1"/>
      <c r="M264" s="1"/>
      <c r="N264" s="1"/>
      <c r="O264" s="1"/>
      <c r="P264" s="1"/>
      <c r="Q264" s="1"/>
      <c r="R264" s="1"/>
      <c r="S264" s="1"/>
      <c r="Z264" s="24" t="n">
        <f aca="false">IF($AB264="",0,IF(ISNUMBER($B264),IF(AND($B264&gt;=N($B$3),OR(NOT(ISNUMBER($D$3)),$B264&lt;=$D$3)),1,0),1))</f>
        <v>0</v>
      </c>
      <c r="AA264" s="24" t="n">
        <f aca="false">$AA263*(1+IF($Z264=1,N($G264),0))</f>
        <v>1.0035</v>
      </c>
      <c r="AB264" s="0" t="str">
        <f aca="false">IF($F264="","",IFERROR(INDEX(Cilësimet!$B$6:$B$10,MATCH($F264,Cilësimet!$A$6:$A$10,0)),""))</f>
        <v/>
      </c>
    </row>
    <row r="265" customFormat="false" ht="18.75" hidden="false" customHeight="true" outlineLevel="0" collapsed="false">
      <c r="A265" s="1"/>
      <c r="B265" s="17"/>
      <c r="C265" s="18"/>
      <c r="D265" s="18"/>
      <c r="E265" s="19"/>
      <c r="F265" s="20"/>
      <c r="G265" s="21" t="str">
        <f aca="false">IF($AB265="","",Cilësimet!$C$3*(INDEX(Cilësimet!$C$6:$C$10,MATCH($F265,Cilësimet!$A$6:$A$10,0))*N($E265)+INDEX(Cilësimet!$D$6:$D$10,MATCH($F265,Cilësimet!$A$6:$A$10,0))))</f>
        <v/>
      </c>
      <c r="H265" s="22" t="str">
        <f aca="false">IF($Z265=1,$AA265-1,"")</f>
        <v/>
      </c>
      <c r="I265" s="23"/>
      <c r="J265" s="1"/>
      <c r="K265" s="1"/>
      <c r="L265" s="1"/>
      <c r="M265" s="1"/>
      <c r="N265" s="1"/>
      <c r="O265" s="1"/>
      <c r="P265" s="1"/>
      <c r="Q265" s="1"/>
      <c r="R265" s="1"/>
      <c r="S265" s="1"/>
      <c r="Z265" s="24" t="n">
        <f aca="false">IF($AB265="",0,IF(ISNUMBER($B265),IF(AND($B265&gt;=N($B$3),OR(NOT(ISNUMBER($D$3)),$B265&lt;=$D$3)),1,0),1))</f>
        <v>0</v>
      </c>
      <c r="AA265" s="24" t="n">
        <f aca="false">$AA264*(1+IF($Z265=1,N($G265),0))</f>
        <v>1.0035</v>
      </c>
      <c r="AB265" s="0" t="str">
        <f aca="false">IF($F265="","",IFERROR(INDEX(Cilësimet!$B$6:$B$10,MATCH($F265,Cilësimet!$A$6:$A$10,0)),""))</f>
        <v/>
      </c>
    </row>
    <row r="266" customFormat="false" ht="18.75" hidden="false" customHeight="true" outlineLevel="0" collapsed="false">
      <c r="A266" s="1"/>
      <c r="B266" s="17"/>
      <c r="C266" s="18"/>
      <c r="D266" s="18"/>
      <c r="E266" s="19"/>
      <c r="F266" s="20"/>
      <c r="G266" s="21" t="str">
        <f aca="false">IF($AB266="","",Cilësimet!$C$3*(INDEX(Cilësimet!$C$6:$C$10,MATCH($F266,Cilësimet!$A$6:$A$10,0))*N($E266)+INDEX(Cilësimet!$D$6:$D$10,MATCH($F266,Cilësimet!$A$6:$A$10,0))))</f>
        <v/>
      </c>
      <c r="H266" s="22" t="str">
        <f aca="false">IF($Z266=1,$AA266-1,"")</f>
        <v/>
      </c>
      <c r="I266" s="23"/>
      <c r="J266" s="1"/>
      <c r="K266" s="1"/>
      <c r="L266" s="1"/>
      <c r="M266" s="1"/>
      <c r="N266" s="1"/>
      <c r="O266" s="1"/>
      <c r="P266" s="1"/>
      <c r="Q266" s="1"/>
      <c r="R266" s="1"/>
      <c r="S266" s="1"/>
      <c r="Z266" s="24" t="n">
        <f aca="false">IF($AB266="",0,IF(ISNUMBER($B266),IF(AND($B266&gt;=N($B$3),OR(NOT(ISNUMBER($D$3)),$B266&lt;=$D$3)),1,0),1))</f>
        <v>0</v>
      </c>
      <c r="AA266" s="24" t="n">
        <f aca="false">$AA265*(1+IF($Z266=1,N($G266),0))</f>
        <v>1.0035</v>
      </c>
      <c r="AB266" s="0" t="str">
        <f aca="false">IF($F266="","",IFERROR(INDEX(Cilësimet!$B$6:$B$10,MATCH($F266,Cilësimet!$A$6:$A$10,0)),""))</f>
        <v/>
      </c>
    </row>
    <row r="267" customFormat="false" ht="18.75" hidden="false" customHeight="true" outlineLevel="0" collapsed="false">
      <c r="A267" s="1"/>
      <c r="B267" s="17"/>
      <c r="C267" s="18"/>
      <c r="D267" s="18"/>
      <c r="E267" s="19"/>
      <c r="F267" s="20"/>
      <c r="G267" s="21" t="str">
        <f aca="false">IF($AB267="","",Cilësimet!$C$3*(INDEX(Cilësimet!$C$6:$C$10,MATCH($F267,Cilësimet!$A$6:$A$10,0))*N($E267)+INDEX(Cilësimet!$D$6:$D$10,MATCH($F267,Cilësimet!$A$6:$A$10,0))))</f>
        <v/>
      </c>
      <c r="H267" s="22" t="str">
        <f aca="false">IF($Z267=1,$AA267-1,"")</f>
        <v/>
      </c>
      <c r="I267" s="23"/>
      <c r="J267" s="1"/>
      <c r="K267" s="1"/>
      <c r="L267" s="1"/>
      <c r="M267" s="1"/>
      <c r="N267" s="1"/>
      <c r="O267" s="1"/>
      <c r="P267" s="1"/>
      <c r="Q267" s="1"/>
      <c r="R267" s="1"/>
      <c r="S267" s="1"/>
      <c r="Z267" s="24" t="n">
        <f aca="false">IF($AB267="",0,IF(ISNUMBER($B267),IF(AND($B267&gt;=N($B$3),OR(NOT(ISNUMBER($D$3)),$B267&lt;=$D$3)),1,0),1))</f>
        <v>0</v>
      </c>
      <c r="AA267" s="24" t="n">
        <f aca="false">$AA266*(1+IF($Z267=1,N($G267),0))</f>
        <v>1.0035</v>
      </c>
      <c r="AB267" s="0" t="str">
        <f aca="false">IF($F267="","",IFERROR(INDEX(Cilësimet!$B$6:$B$10,MATCH($F267,Cilësimet!$A$6:$A$10,0)),""))</f>
        <v/>
      </c>
    </row>
    <row r="268" customFormat="false" ht="18.75" hidden="false" customHeight="true" outlineLevel="0" collapsed="false">
      <c r="A268" s="1"/>
      <c r="B268" s="17"/>
      <c r="C268" s="18"/>
      <c r="D268" s="18"/>
      <c r="E268" s="19"/>
      <c r="F268" s="20"/>
      <c r="G268" s="21" t="str">
        <f aca="false">IF($AB268="","",Cilësimet!$C$3*(INDEX(Cilësimet!$C$6:$C$10,MATCH($F268,Cilësimet!$A$6:$A$10,0))*N($E268)+INDEX(Cilësimet!$D$6:$D$10,MATCH($F268,Cilësimet!$A$6:$A$10,0))))</f>
        <v/>
      </c>
      <c r="H268" s="22" t="str">
        <f aca="false">IF($Z268=1,$AA268-1,"")</f>
        <v/>
      </c>
      <c r="I268" s="23"/>
      <c r="J268" s="1"/>
      <c r="K268" s="1"/>
      <c r="L268" s="1"/>
      <c r="M268" s="1"/>
      <c r="N268" s="1"/>
      <c r="O268" s="1"/>
      <c r="P268" s="1"/>
      <c r="Q268" s="1"/>
      <c r="R268" s="1"/>
      <c r="S268" s="1"/>
      <c r="Z268" s="24" t="n">
        <f aca="false">IF($AB268="",0,IF(ISNUMBER($B268),IF(AND($B268&gt;=N($B$3),OR(NOT(ISNUMBER($D$3)),$B268&lt;=$D$3)),1,0),1))</f>
        <v>0</v>
      </c>
      <c r="AA268" s="24" t="n">
        <f aca="false">$AA267*(1+IF($Z268=1,N($G268),0))</f>
        <v>1.0035</v>
      </c>
      <c r="AB268" s="0" t="str">
        <f aca="false">IF($F268="","",IFERROR(INDEX(Cilësimet!$B$6:$B$10,MATCH($F268,Cilësimet!$A$6:$A$10,0)),""))</f>
        <v/>
      </c>
    </row>
    <row r="269" customFormat="false" ht="18.75" hidden="false" customHeight="true" outlineLevel="0" collapsed="false">
      <c r="A269" s="1"/>
      <c r="B269" s="17"/>
      <c r="C269" s="18"/>
      <c r="D269" s="18"/>
      <c r="E269" s="19"/>
      <c r="F269" s="20"/>
      <c r="G269" s="21" t="str">
        <f aca="false">IF($AB269="","",Cilësimet!$C$3*(INDEX(Cilësimet!$C$6:$C$10,MATCH($F269,Cilësimet!$A$6:$A$10,0))*N($E269)+INDEX(Cilësimet!$D$6:$D$10,MATCH($F269,Cilësimet!$A$6:$A$10,0))))</f>
        <v/>
      </c>
      <c r="H269" s="22" t="str">
        <f aca="false">IF($Z269=1,$AA269-1,"")</f>
        <v/>
      </c>
      <c r="I269" s="23"/>
      <c r="J269" s="1"/>
      <c r="K269" s="1"/>
      <c r="L269" s="1"/>
      <c r="M269" s="1"/>
      <c r="N269" s="1"/>
      <c r="O269" s="1"/>
      <c r="P269" s="1"/>
      <c r="Q269" s="1"/>
      <c r="R269" s="1"/>
      <c r="S269" s="1"/>
      <c r="Z269" s="24" t="n">
        <f aca="false">IF($AB269="",0,IF(ISNUMBER($B269),IF(AND($B269&gt;=N($B$3),OR(NOT(ISNUMBER($D$3)),$B269&lt;=$D$3)),1,0),1))</f>
        <v>0</v>
      </c>
      <c r="AA269" s="24" t="n">
        <f aca="false">$AA268*(1+IF($Z269=1,N($G269),0))</f>
        <v>1.0035</v>
      </c>
      <c r="AB269" s="0" t="str">
        <f aca="false">IF($F269="","",IFERROR(INDEX(Cilësimet!$B$6:$B$10,MATCH($F269,Cilësimet!$A$6:$A$10,0)),""))</f>
        <v/>
      </c>
    </row>
    <row r="270" customFormat="false" ht="18.75" hidden="false" customHeight="true" outlineLevel="0" collapsed="false">
      <c r="A270" s="1"/>
      <c r="B270" s="17"/>
      <c r="C270" s="18"/>
      <c r="D270" s="18"/>
      <c r="E270" s="19"/>
      <c r="F270" s="20"/>
      <c r="G270" s="21" t="str">
        <f aca="false">IF($AB270="","",Cilësimet!$C$3*(INDEX(Cilësimet!$C$6:$C$10,MATCH($F270,Cilësimet!$A$6:$A$10,0))*N($E270)+INDEX(Cilësimet!$D$6:$D$10,MATCH($F270,Cilësimet!$A$6:$A$10,0))))</f>
        <v/>
      </c>
      <c r="H270" s="22" t="str">
        <f aca="false">IF($Z270=1,$AA270-1,"")</f>
        <v/>
      </c>
      <c r="I270" s="23"/>
      <c r="J270" s="1"/>
      <c r="K270" s="1"/>
      <c r="L270" s="1"/>
      <c r="M270" s="1"/>
      <c r="N270" s="1"/>
      <c r="O270" s="1"/>
      <c r="P270" s="1"/>
      <c r="Q270" s="1"/>
      <c r="R270" s="1"/>
      <c r="S270" s="1"/>
      <c r="Z270" s="24" t="n">
        <f aca="false">IF($AB270="",0,IF(ISNUMBER($B270),IF(AND($B270&gt;=N($B$3),OR(NOT(ISNUMBER($D$3)),$B270&lt;=$D$3)),1,0),1))</f>
        <v>0</v>
      </c>
      <c r="AA270" s="24" t="n">
        <f aca="false">$AA269*(1+IF($Z270=1,N($G270),0))</f>
        <v>1.0035</v>
      </c>
      <c r="AB270" s="0" t="str">
        <f aca="false">IF($F270="","",IFERROR(INDEX(Cilësimet!$B$6:$B$10,MATCH($F270,Cilësimet!$A$6:$A$10,0)),""))</f>
        <v/>
      </c>
    </row>
    <row r="271" customFormat="false" ht="18.75" hidden="false" customHeight="true" outlineLevel="0" collapsed="false">
      <c r="A271" s="1"/>
      <c r="B271" s="17"/>
      <c r="C271" s="18"/>
      <c r="D271" s="18"/>
      <c r="E271" s="19"/>
      <c r="F271" s="20"/>
      <c r="G271" s="21" t="str">
        <f aca="false">IF($AB271="","",Cilësimet!$C$3*(INDEX(Cilësimet!$C$6:$C$10,MATCH($F271,Cilësimet!$A$6:$A$10,0))*N($E271)+INDEX(Cilësimet!$D$6:$D$10,MATCH($F271,Cilësimet!$A$6:$A$10,0))))</f>
        <v/>
      </c>
      <c r="H271" s="22" t="str">
        <f aca="false">IF($Z271=1,$AA271-1,"")</f>
        <v/>
      </c>
      <c r="I271" s="23"/>
      <c r="J271" s="1"/>
      <c r="K271" s="1"/>
      <c r="L271" s="1"/>
      <c r="M271" s="1"/>
      <c r="N271" s="1"/>
      <c r="O271" s="1"/>
      <c r="P271" s="1"/>
      <c r="Q271" s="1"/>
      <c r="R271" s="1"/>
      <c r="S271" s="1"/>
      <c r="Z271" s="24" t="n">
        <f aca="false">IF($AB271="",0,IF(ISNUMBER($B271),IF(AND($B271&gt;=N($B$3),OR(NOT(ISNUMBER($D$3)),$B271&lt;=$D$3)),1,0),1))</f>
        <v>0</v>
      </c>
      <c r="AA271" s="24" t="n">
        <f aca="false">$AA270*(1+IF($Z271=1,N($G271),0))</f>
        <v>1.0035</v>
      </c>
      <c r="AB271" s="0" t="str">
        <f aca="false">IF($F271="","",IFERROR(INDEX(Cilësimet!$B$6:$B$10,MATCH($F271,Cilësimet!$A$6:$A$10,0)),""))</f>
        <v/>
      </c>
    </row>
    <row r="272" customFormat="false" ht="18.75" hidden="false" customHeight="true" outlineLevel="0" collapsed="false">
      <c r="A272" s="1"/>
      <c r="B272" s="17"/>
      <c r="C272" s="18"/>
      <c r="D272" s="18"/>
      <c r="E272" s="19"/>
      <c r="F272" s="20"/>
      <c r="G272" s="21" t="str">
        <f aca="false">IF($AB272="","",Cilësimet!$C$3*(INDEX(Cilësimet!$C$6:$C$10,MATCH($F272,Cilësimet!$A$6:$A$10,0))*N($E272)+INDEX(Cilësimet!$D$6:$D$10,MATCH($F272,Cilësimet!$A$6:$A$10,0))))</f>
        <v/>
      </c>
      <c r="H272" s="22" t="str">
        <f aca="false">IF($Z272=1,$AA272-1,"")</f>
        <v/>
      </c>
      <c r="I272" s="23"/>
      <c r="J272" s="1"/>
      <c r="K272" s="1"/>
      <c r="L272" s="1"/>
      <c r="M272" s="1"/>
      <c r="N272" s="1"/>
      <c r="O272" s="1"/>
      <c r="P272" s="1"/>
      <c r="Q272" s="1"/>
      <c r="R272" s="1"/>
      <c r="S272" s="1"/>
      <c r="Z272" s="24" t="n">
        <f aca="false">IF($AB272="",0,IF(ISNUMBER($B272),IF(AND($B272&gt;=N($B$3),OR(NOT(ISNUMBER($D$3)),$B272&lt;=$D$3)),1,0),1))</f>
        <v>0</v>
      </c>
      <c r="AA272" s="24" t="n">
        <f aca="false">$AA271*(1+IF($Z272=1,N($G272),0))</f>
        <v>1.0035</v>
      </c>
      <c r="AB272" s="0" t="str">
        <f aca="false">IF($F272="","",IFERROR(INDEX(Cilësimet!$B$6:$B$10,MATCH($F272,Cilësimet!$A$6:$A$10,0)),""))</f>
        <v/>
      </c>
    </row>
    <row r="273" customFormat="false" ht="18.75" hidden="false" customHeight="true" outlineLevel="0" collapsed="false">
      <c r="A273" s="1"/>
      <c r="B273" s="17"/>
      <c r="C273" s="18"/>
      <c r="D273" s="18"/>
      <c r="E273" s="19"/>
      <c r="F273" s="20"/>
      <c r="G273" s="21" t="str">
        <f aca="false">IF($AB273="","",Cilësimet!$C$3*(INDEX(Cilësimet!$C$6:$C$10,MATCH($F273,Cilësimet!$A$6:$A$10,0))*N($E273)+INDEX(Cilësimet!$D$6:$D$10,MATCH($F273,Cilësimet!$A$6:$A$10,0))))</f>
        <v/>
      </c>
      <c r="H273" s="22" t="str">
        <f aca="false">IF($Z273=1,$AA273-1,"")</f>
        <v/>
      </c>
      <c r="I273" s="23"/>
      <c r="J273" s="1"/>
      <c r="K273" s="1"/>
      <c r="L273" s="1"/>
      <c r="M273" s="1"/>
      <c r="N273" s="1"/>
      <c r="O273" s="1"/>
      <c r="P273" s="1"/>
      <c r="Q273" s="1"/>
      <c r="R273" s="1"/>
      <c r="S273" s="1"/>
      <c r="Z273" s="24" t="n">
        <f aca="false">IF($AB273="",0,IF(ISNUMBER($B273),IF(AND($B273&gt;=N($B$3),OR(NOT(ISNUMBER($D$3)),$B273&lt;=$D$3)),1,0),1))</f>
        <v>0</v>
      </c>
      <c r="AA273" s="24" t="n">
        <f aca="false">$AA272*(1+IF($Z273=1,N($G273),0))</f>
        <v>1.0035</v>
      </c>
      <c r="AB273" s="0" t="str">
        <f aca="false">IF($F273="","",IFERROR(INDEX(Cilësimet!$B$6:$B$10,MATCH($F273,Cilësimet!$A$6:$A$10,0)),""))</f>
        <v/>
      </c>
    </row>
    <row r="274" customFormat="false" ht="18.75" hidden="false" customHeight="true" outlineLevel="0" collapsed="false">
      <c r="A274" s="1"/>
      <c r="B274" s="17"/>
      <c r="C274" s="18"/>
      <c r="D274" s="18"/>
      <c r="E274" s="19"/>
      <c r="F274" s="20"/>
      <c r="G274" s="21" t="str">
        <f aca="false">IF($AB274="","",Cilësimet!$C$3*(INDEX(Cilësimet!$C$6:$C$10,MATCH($F274,Cilësimet!$A$6:$A$10,0))*N($E274)+INDEX(Cilësimet!$D$6:$D$10,MATCH($F274,Cilësimet!$A$6:$A$10,0))))</f>
        <v/>
      </c>
      <c r="H274" s="22" t="str">
        <f aca="false">IF($Z274=1,$AA274-1,"")</f>
        <v/>
      </c>
      <c r="I274" s="23"/>
      <c r="J274" s="1"/>
      <c r="K274" s="1"/>
      <c r="L274" s="1"/>
      <c r="M274" s="1"/>
      <c r="N274" s="1"/>
      <c r="O274" s="1"/>
      <c r="P274" s="1"/>
      <c r="Q274" s="1"/>
      <c r="R274" s="1"/>
      <c r="S274" s="1"/>
      <c r="Z274" s="24" t="n">
        <f aca="false">IF($AB274="",0,IF(ISNUMBER($B274),IF(AND($B274&gt;=N($B$3),OR(NOT(ISNUMBER($D$3)),$B274&lt;=$D$3)),1,0),1))</f>
        <v>0</v>
      </c>
      <c r="AA274" s="24" t="n">
        <f aca="false">$AA273*(1+IF($Z274=1,N($G274),0))</f>
        <v>1.0035</v>
      </c>
      <c r="AB274" s="0" t="str">
        <f aca="false">IF($F274="","",IFERROR(INDEX(Cilësimet!$B$6:$B$10,MATCH($F274,Cilësimet!$A$6:$A$10,0)),""))</f>
        <v/>
      </c>
    </row>
    <row r="275" customFormat="false" ht="18.75" hidden="false" customHeight="true" outlineLevel="0" collapsed="false">
      <c r="A275" s="1"/>
      <c r="B275" s="17"/>
      <c r="C275" s="18"/>
      <c r="D275" s="18"/>
      <c r="E275" s="19"/>
      <c r="F275" s="20"/>
      <c r="G275" s="21" t="str">
        <f aca="false">IF($AB275="","",Cilësimet!$C$3*(INDEX(Cilësimet!$C$6:$C$10,MATCH($F275,Cilësimet!$A$6:$A$10,0))*N($E275)+INDEX(Cilësimet!$D$6:$D$10,MATCH($F275,Cilësimet!$A$6:$A$10,0))))</f>
        <v/>
      </c>
      <c r="H275" s="22" t="str">
        <f aca="false">IF($Z275=1,$AA275-1,"")</f>
        <v/>
      </c>
      <c r="I275" s="23"/>
      <c r="J275" s="1"/>
      <c r="K275" s="1"/>
      <c r="L275" s="1"/>
      <c r="M275" s="1"/>
      <c r="N275" s="1"/>
      <c r="O275" s="1"/>
      <c r="P275" s="1"/>
      <c r="Q275" s="1"/>
      <c r="R275" s="1"/>
      <c r="S275" s="1"/>
      <c r="Z275" s="24" t="n">
        <f aca="false">IF($AB275="",0,IF(ISNUMBER($B275),IF(AND($B275&gt;=N($B$3),OR(NOT(ISNUMBER($D$3)),$B275&lt;=$D$3)),1,0),1))</f>
        <v>0</v>
      </c>
      <c r="AA275" s="24" t="n">
        <f aca="false">$AA274*(1+IF($Z275=1,N($G275),0))</f>
        <v>1.0035</v>
      </c>
      <c r="AB275" s="0" t="str">
        <f aca="false">IF($F275="","",IFERROR(INDEX(Cilësimet!$B$6:$B$10,MATCH($F275,Cilësimet!$A$6:$A$10,0)),""))</f>
        <v/>
      </c>
    </row>
    <row r="276" customFormat="false" ht="18.75" hidden="false" customHeight="true" outlineLevel="0" collapsed="false">
      <c r="A276" s="1"/>
      <c r="B276" s="17"/>
      <c r="C276" s="18"/>
      <c r="D276" s="18"/>
      <c r="E276" s="19"/>
      <c r="F276" s="20"/>
      <c r="G276" s="21" t="str">
        <f aca="false">IF($AB276="","",Cilësimet!$C$3*(INDEX(Cilësimet!$C$6:$C$10,MATCH($F276,Cilësimet!$A$6:$A$10,0))*N($E276)+INDEX(Cilësimet!$D$6:$D$10,MATCH($F276,Cilësimet!$A$6:$A$10,0))))</f>
        <v/>
      </c>
      <c r="H276" s="22" t="str">
        <f aca="false">IF($Z276=1,$AA276-1,"")</f>
        <v/>
      </c>
      <c r="I276" s="23"/>
      <c r="J276" s="1"/>
      <c r="K276" s="1"/>
      <c r="L276" s="1"/>
      <c r="M276" s="1"/>
      <c r="N276" s="1"/>
      <c r="O276" s="1"/>
      <c r="P276" s="1"/>
      <c r="Q276" s="1"/>
      <c r="R276" s="1"/>
      <c r="S276" s="1"/>
      <c r="Z276" s="24" t="n">
        <f aca="false">IF($AB276="",0,IF(ISNUMBER($B276),IF(AND($B276&gt;=N($B$3),OR(NOT(ISNUMBER($D$3)),$B276&lt;=$D$3)),1,0),1))</f>
        <v>0</v>
      </c>
      <c r="AA276" s="24" t="n">
        <f aca="false">$AA275*(1+IF($Z276=1,N($G276),0))</f>
        <v>1.0035</v>
      </c>
      <c r="AB276" s="0" t="str">
        <f aca="false">IF($F276="","",IFERROR(INDEX(Cilësimet!$B$6:$B$10,MATCH($F276,Cilësimet!$A$6:$A$10,0)),""))</f>
        <v/>
      </c>
    </row>
    <row r="277" customFormat="false" ht="18.75" hidden="false" customHeight="true" outlineLevel="0" collapsed="false">
      <c r="A277" s="1"/>
      <c r="B277" s="17"/>
      <c r="C277" s="18"/>
      <c r="D277" s="18"/>
      <c r="E277" s="19"/>
      <c r="F277" s="20"/>
      <c r="G277" s="21" t="str">
        <f aca="false">IF($AB277="","",Cilësimet!$C$3*(INDEX(Cilësimet!$C$6:$C$10,MATCH($F277,Cilësimet!$A$6:$A$10,0))*N($E277)+INDEX(Cilësimet!$D$6:$D$10,MATCH($F277,Cilësimet!$A$6:$A$10,0))))</f>
        <v/>
      </c>
      <c r="H277" s="22" t="str">
        <f aca="false">IF($Z277=1,$AA277-1,"")</f>
        <v/>
      </c>
      <c r="I277" s="23"/>
      <c r="J277" s="1"/>
      <c r="K277" s="1"/>
      <c r="L277" s="1"/>
      <c r="M277" s="1"/>
      <c r="N277" s="1"/>
      <c r="O277" s="1"/>
      <c r="P277" s="1"/>
      <c r="Q277" s="1"/>
      <c r="R277" s="1"/>
      <c r="S277" s="1"/>
      <c r="Z277" s="24" t="n">
        <f aca="false">IF($AB277="",0,IF(ISNUMBER($B277),IF(AND($B277&gt;=N($B$3),OR(NOT(ISNUMBER($D$3)),$B277&lt;=$D$3)),1,0),1))</f>
        <v>0</v>
      </c>
      <c r="AA277" s="24" t="n">
        <f aca="false">$AA276*(1+IF($Z277=1,N($G277),0))</f>
        <v>1.0035</v>
      </c>
      <c r="AB277" s="0" t="str">
        <f aca="false">IF($F277="","",IFERROR(INDEX(Cilësimet!$B$6:$B$10,MATCH($F277,Cilësimet!$A$6:$A$10,0)),""))</f>
        <v/>
      </c>
    </row>
    <row r="278" customFormat="false" ht="18.75" hidden="false" customHeight="true" outlineLevel="0" collapsed="false">
      <c r="A278" s="1"/>
      <c r="B278" s="17"/>
      <c r="C278" s="18"/>
      <c r="D278" s="18"/>
      <c r="E278" s="19"/>
      <c r="F278" s="20"/>
      <c r="G278" s="21" t="str">
        <f aca="false">IF($AB278="","",Cilësimet!$C$3*(INDEX(Cilësimet!$C$6:$C$10,MATCH($F278,Cilësimet!$A$6:$A$10,0))*N($E278)+INDEX(Cilësimet!$D$6:$D$10,MATCH($F278,Cilësimet!$A$6:$A$10,0))))</f>
        <v/>
      </c>
      <c r="H278" s="22" t="str">
        <f aca="false">IF($Z278=1,$AA278-1,"")</f>
        <v/>
      </c>
      <c r="I278" s="23"/>
      <c r="J278" s="1"/>
      <c r="K278" s="1"/>
      <c r="L278" s="1"/>
      <c r="M278" s="1"/>
      <c r="N278" s="1"/>
      <c r="O278" s="1"/>
      <c r="P278" s="1"/>
      <c r="Q278" s="1"/>
      <c r="R278" s="1"/>
      <c r="S278" s="1"/>
      <c r="Z278" s="24" t="n">
        <f aca="false">IF($AB278="",0,IF(ISNUMBER($B278),IF(AND($B278&gt;=N($B$3),OR(NOT(ISNUMBER($D$3)),$B278&lt;=$D$3)),1,0),1))</f>
        <v>0</v>
      </c>
      <c r="AA278" s="24" t="n">
        <f aca="false">$AA277*(1+IF($Z278=1,N($G278),0))</f>
        <v>1.0035</v>
      </c>
      <c r="AB278" s="0" t="str">
        <f aca="false">IF($F278="","",IFERROR(INDEX(Cilësimet!$B$6:$B$10,MATCH($F278,Cilësimet!$A$6:$A$10,0)),""))</f>
        <v/>
      </c>
    </row>
    <row r="279" customFormat="false" ht="18.75" hidden="false" customHeight="true" outlineLevel="0" collapsed="false">
      <c r="A279" s="1"/>
      <c r="B279" s="17"/>
      <c r="C279" s="18"/>
      <c r="D279" s="18"/>
      <c r="E279" s="19"/>
      <c r="F279" s="20"/>
      <c r="G279" s="21" t="str">
        <f aca="false">IF($AB279="","",Cilësimet!$C$3*(INDEX(Cilësimet!$C$6:$C$10,MATCH($F279,Cilësimet!$A$6:$A$10,0))*N($E279)+INDEX(Cilësimet!$D$6:$D$10,MATCH($F279,Cilësimet!$A$6:$A$10,0))))</f>
        <v/>
      </c>
      <c r="H279" s="22" t="str">
        <f aca="false">IF($Z279=1,$AA279-1,"")</f>
        <v/>
      </c>
      <c r="I279" s="23"/>
      <c r="J279" s="1"/>
      <c r="K279" s="1"/>
      <c r="L279" s="1"/>
      <c r="M279" s="1"/>
      <c r="N279" s="1"/>
      <c r="O279" s="1"/>
      <c r="P279" s="1"/>
      <c r="Q279" s="1"/>
      <c r="R279" s="1"/>
      <c r="S279" s="1"/>
      <c r="Z279" s="24" t="n">
        <f aca="false">IF($AB279="",0,IF(ISNUMBER($B279),IF(AND($B279&gt;=N($B$3),OR(NOT(ISNUMBER($D$3)),$B279&lt;=$D$3)),1,0),1))</f>
        <v>0</v>
      </c>
      <c r="AA279" s="24" t="n">
        <f aca="false">$AA278*(1+IF($Z279=1,N($G279),0))</f>
        <v>1.0035</v>
      </c>
      <c r="AB279" s="0" t="str">
        <f aca="false">IF($F279="","",IFERROR(INDEX(Cilësimet!$B$6:$B$10,MATCH($F279,Cilësimet!$A$6:$A$10,0)),""))</f>
        <v/>
      </c>
    </row>
    <row r="280" customFormat="false" ht="18.75" hidden="false" customHeight="true" outlineLevel="0" collapsed="false">
      <c r="A280" s="1"/>
      <c r="B280" s="17"/>
      <c r="C280" s="18"/>
      <c r="D280" s="18"/>
      <c r="E280" s="19"/>
      <c r="F280" s="20"/>
      <c r="G280" s="21" t="str">
        <f aca="false">IF($AB280="","",Cilësimet!$C$3*(INDEX(Cilësimet!$C$6:$C$10,MATCH($F280,Cilësimet!$A$6:$A$10,0))*N($E280)+INDEX(Cilësimet!$D$6:$D$10,MATCH($F280,Cilësimet!$A$6:$A$10,0))))</f>
        <v/>
      </c>
      <c r="H280" s="22" t="str">
        <f aca="false">IF($Z280=1,$AA280-1,"")</f>
        <v/>
      </c>
      <c r="I280" s="23"/>
      <c r="J280" s="1"/>
      <c r="K280" s="1"/>
      <c r="L280" s="1"/>
      <c r="M280" s="1"/>
      <c r="N280" s="1"/>
      <c r="O280" s="1"/>
      <c r="P280" s="1"/>
      <c r="Q280" s="1"/>
      <c r="R280" s="1"/>
      <c r="S280" s="1"/>
      <c r="Z280" s="24" t="n">
        <f aca="false">IF($AB280="",0,IF(ISNUMBER($B280),IF(AND($B280&gt;=N($B$3),OR(NOT(ISNUMBER($D$3)),$B280&lt;=$D$3)),1,0),1))</f>
        <v>0</v>
      </c>
      <c r="AA280" s="24" t="n">
        <f aca="false">$AA279*(1+IF($Z280=1,N($G280),0))</f>
        <v>1.0035</v>
      </c>
      <c r="AB280" s="0" t="str">
        <f aca="false">IF($F280="","",IFERROR(INDEX(Cilësimet!$B$6:$B$10,MATCH($F280,Cilësimet!$A$6:$A$10,0)),""))</f>
        <v/>
      </c>
    </row>
    <row r="281" customFormat="false" ht="18.75" hidden="false" customHeight="true" outlineLevel="0" collapsed="false">
      <c r="A281" s="1"/>
      <c r="B281" s="17"/>
      <c r="C281" s="18"/>
      <c r="D281" s="18"/>
      <c r="E281" s="19"/>
      <c r="F281" s="20"/>
      <c r="G281" s="21" t="str">
        <f aca="false">IF($AB281="","",Cilësimet!$C$3*(INDEX(Cilësimet!$C$6:$C$10,MATCH($F281,Cilësimet!$A$6:$A$10,0))*N($E281)+INDEX(Cilësimet!$D$6:$D$10,MATCH($F281,Cilësimet!$A$6:$A$10,0))))</f>
        <v/>
      </c>
      <c r="H281" s="22" t="str">
        <f aca="false">IF($Z281=1,$AA281-1,"")</f>
        <v/>
      </c>
      <c r="I281" s="23"/>
      <c r="J281" s="1"/>
      <c r="K281" s="1"/>
      <c r="L281" s="1"/>
      <c r="M281" s="1"/>
      <c r="N281" s="1"/>
      <c r="O281" s="1"/>
      <c r="P281" s="1"/>
      <c r="Q281" s="1"/>
      <c r="R281" s="1"/>
      <c r="S281" s="1"/>
      <c r="Z281" s="24" t="n">
        <f aca="false">IF($AB281="",0,IF(ISNUMBER($B281),IF(AND($B281&gt;=N($B$3),OR(NOT(ISNUMBER($D$3)),$B281&lt;=$D$3)),1,0),1))</f>
        <v>0</v>
      </c>
      <c r="AA281" s="24" t="n">
        <f aca="false">$AA280*(1+IF($Z281=1,N($G281),0))</f>
        <v>1.0035</v>
      </c>
      <c r="AB281" s="0" t="str">
        <f aca="false">IF($F281="","",IFERROR(INDEX(Cilësimet!$B$6:$B$10,MATCH($F281,Cilësimet!$A$6:$A$10,0)),""))</f>
        <v/>
      </c>
    </row>
    <row r="282" customFormat="false" ht="18.75" hidden="false" customHeight="true" outlineLevel="0" collapsed="false">
      <c r="A282" s="1"/>
      <c r="B282" s="17"/>
      <c r="C282" s="18"/>
      <c r="D282" s="18"/>
      <c r="E282" s="19"/>
      <c r="F282" s="20"/>
      <c r="G282" s="21" t="str">
        <f aca="false">IF($AB282="","",Cilësimet!$C$3*(INDEX(Cilësimet!$C$6:$C$10,MATCH($F282,Cilësimet!$A$6:$A$10,0))*N($E282)+INDEX(Cilësimet!$D$6:$D$10,MATCH($F282,Cilësimet!$A$6:$A$10,0))))</f>
        <v/>
      </c>
      <c r="H282" s="22" t="str">
        <f aca="false">IF($Z282=1,$AA282-1,"")</f>
        <v/>
      </c>
      <c r="I282" s="23"/>
      <c r="J282" s="1"/>
      <c r="K282" s="1"/>
      <c r="L282" s="1"/>
      <c r="M282" s="1"/>
      <c r="N282" s="1"/>
      <c r="O282" s="1"/>
      <c r="P282" s="1"/>
      <c r="Q282" s="1"/>
      <c r="R282" s="1"/>
      <c r="S282" s="1"/>
      <c r="Z282" s="24" t="n">
        <f aca="false">IF($AB282="",0,IF(ISNUMBER($B282),IF(AND($B282&gt;=N($B$3),OR(NOT(ISNUMBER($D$3)),$B282&lt;=$D$3)),1,0),1))</f>
        <v>0</v>
      </c>
      <c r="AA282" s="24" t="n">
        <f aca="false">$AA281*(1+IF($Z282=1,N($G282),0))</f>
        <v>1.0035</v>
      </c>
      <c r="AB282" s="0" t="str">
        <f aca="false">IF($F282="","",IFERROR(INDEX(Cilësimet!$B$6:$B$10,MATCH($F282,Cilësimet!$A$6:$A$10,0)),""))</f>
        <v/>
      </c>
    </row>
    <row r="283" customFormat="false" ht="18.75" hidden="false" customHeight="true" outlineLevel="0" collapsed="false">
      <c r="A283" s="1"/>
      <c r="B283" s="17"/>
      <c r="C283" s="18"/>
      <c r="D283" s="18"/>
      <c r="E283" s="19"/>
      <c r="F283" s="20"/>
      <c r="G283" s="21" t="str">
        <f aca="false">IF($AB283="","",Cilësimet!$C$3*(INDEX(Cilësimet!$C$6:$C$10,MATCH($F283,Cilësimet!$A$6:$A$10,0))*N($E283)+INDEX(Cilësimet!$D$6:$D$10,MATCH($F283,Cilësimet!$A$6:$A$10,0))))</f>
        <v/>
      </c>
      <c r="H283" s="22" t="str">
        <f aca="false">IF($Z283=1,$AA283-1,"")</f>
        <v/>
      </c>
      <c r="I283" s="23"/>
      <c r="J283" s="1"/>
      <c r="K283" s="1"/>
      <c r="L283" s="1"/>
      <c r="M283" s="1"/>
      <c r="N283" s="1"/>
      <c r="O283" s="1"/>
      <c r="P283" s="1"/>
      <c r="Q283" s="1"/>
      <c r="R283" s="1"/>
      <c r="S283" s="1"/>
      <c r="Z283" s="24" t="n">
        <f aca="false">IF($AB283="",0,IF(ISNUMBER($B283),IF(AND($B283&gt;=N($B$3),OR(NOT(ISNUMBER($D$3)),$B283&lt;=$D$3)),1,0),1))</f>
        <v>0</v>
      </c>
      <c r="AA283" s="24" t="n">
        <f aca="false">$AA282*(1+IF($Z283=1,N($G283),0))</f>
        <v>1.0035</v>
      </c>
      <c r="AB283" s="0" t="str">
        <f aca="false">IF($F283="","",IFERROR(INDEX(Cilësimet!$B$6:$B$10,MATCH($F283,Cilësimet!$A$6:$A$10,0)),""))</f>
        <v/>
      </c>
    </row>
    <row r="284" customFormat="false" ht="18.75" hidden="false" customHeight="true" outlineLevel="0" collapsed="false">
      <c r="A284" s="1"/>
      <c r="B284" s="17"/>
      <c r="C284" s="18"/>
      <c r="D284" s="18"/>
      <c r="E284" s="19"/>
      <c r="F284" s="20"/>
      <c r="G284" s="21" t="str">
        <f aca="false">IF($AB284="","",Cilësimet!$C$3*(INDEX(Cilësimet!$C$6:$C$10,MATCH($F284,Cilësimet!$A$6:$A$10,0))*N($E284)+INDEX(Cilësimet!$D$6:$D$10,MATCH($F284,Cilësimet!$A$6:$A$10,0))))</f>
        <v/>
      </c>
      <c r="H284" s="22" t="str">
        <f aca="false">IF($Z284=1,$AA284-1,"")</f>
        <v/>
      </c>
      <c r="I284" s="23"/>
      <c r="J284" s="1"/>
      <c r="K284" s="1"/>
      <c r="L284" s="1"/>
      <c r="M284" s="1"/>
      <c r="N284" s="1"/>
      <c r="O284" s="1"/>
      <c r="P284" s="1"/>
      <c r="Q284" s="1"/>
      <c r="R284" s="1"/>
      <c r="S284" s="1"/>
      <c r="Z284" s="24" t="n">
        <f aca="false">IF($AB284="",0,IF(ISNUMBER($B284),IF(AND($B284&gt;=N($B$3),OR(NOT(ISNUMBER($D$3)),$B284&lt;=$D$3)),1,0),1))</f>
        <v>0</v>
      </c>
      <c r="AA284" s="24" t="n">
        <f aca="false">$AA283*(1+IF($Z284=1,N($G284),0))</f>
        <v>1.0035</v>
      </c>
      <c r="AB284" s="0" t="str">
        <f aca="false">IF($F284="","",IFERROR(INDEX(Cilësimet!$B$6:$B$10,MATCH($F284,Cilësimet!$A$6:$A$10,0)),""))</f>
        <v/>
      </c>
    </row>
    <row r="285" customFormat="false" ht="18.75" hidden="false" customHeight="true" outlineLevel="0" collapsed="false">
      <c r="A285" s="1"/>
      <c r="B285" s="17"/>
      <c r="C285" s="18"/>
      <c r="D285" s="18"/>
      <c r="E285" s="19"/>
      <c r="F285" s="20"/>
      <c r="G285" s="21" t="str">
        <f aca="false">IF($AB285="","",Cilësimet!$C$3*(INDEX(Cilësimet!$C$6:$C$10,MATCH($F285,Cilësimet!$A$6:$A$10,0))*N($E285)+INDEX(Cilësimet!$D$6:$D$10,MATCH($F285,Cilësimet!$A$6:$A$10,0))))</f>
        <v/>
      </c>
      <c r="H285" s="22" t="str">
        <f aca="false">IF($Z285=1,$AA285-1,"")</f>
        <v/>
      </c>
      <c r="I285" s="23"/>
      <c r="J285" s="1"/>
      <c r="K285" s="1"/>
      <c r="L285" s="1"/>
      <c r="M285" s="1"/>
      <c r="N285" s="1"/>
      <c r="O285" s="1"/>
      <c r="P285" s="1"/>
      <c r="Q285" s="1"/>
      <c r="R285" s="1"/>
      <c r="S285" s="1"/>
      <c r="Z285" s="24" t="n">
        <f aca="false">IF($AB285="",0,IF(ISNUMBER($B285),IF(AND($B285&gt;=N($B$3),OR(NOT(ISNUMBER($D$3)),$B285&lt;=$D$3)),1,0),1))</f>
        <v>0</v>
      </c>
      <c r="AA285" s="24" t="n">
        <f aca="false">$AA284*(1+IF($Z285=1,N($G285),0))</f>
        <v>1.0035</v>
      </c>
      <c r="AB285" s="0" t="str">
        <f aca="false">IF($F285="","",IFERROR(INDEX(Cilësimet!$B$6:$B$10,MATCH($F285,Cilësimet!$A$6:$A$10,0)),""))</f>
        <v/>
      </c>
    </row>
    <row r="286" customFormat="false" ht="18.75" hidden="false" customHeight="true" outlineLevel="0" collapsed="false">
      <c r="A286" s="1"/>
      <c r="B286" s="17"/>
      <c r="C286" s="18"/>
      <c r="D286" s="18"/>
      <c r="E286" s="19"/>
      <c r="F286" s="20"/>
      <c r="G286" s="21" t="str">
        <f aca="false">IF($AB286="","",Cilësimet!$C$3*(INDEX(Cilësimet!$C$6:$C$10,MATCH($F286,Cilësimet!$A$6:$A$10,0))*N($E286)+INDEX(Cilësimet!$D$6:$D$10,MATCH($F286,Cilësimet!$A$6:$A$10,0))))</f>
        <v/>
      </c>
      <c r="H286" s="22" t="str">
        <f aca="false">IF($Z286=1,$AA286-1,"")</f>
        <v/>
      </c>
      <c r="I286" s="23"/>
      <c r="J286" s="1"/>
      <c r="K286" s="1"/>
      <c r="L286" s="1"/>
      <c r="M286" s="1"/>
      <c r="N286" s="1"/>
      <c r="O286" s="1"/>
      <c r="P286" s="1"/>
      <c r="Q286" s="1"/>
      <c r="R286" s="1"/>
      <c r="S286" s="1"/>
      <c r="Z286" s="24" t="n">
        <f aca="false">IF($AB286="",0,IF(ISNUMBER($B286),IF(AND($B286&gt;=N($B$3),OR(NOT(ISNUMBER($D$3)),$B286&lt;=$D$3)),1,0),1))</f>
        <v>0</v>
      </c>
      <c r="AA286" s="24" t="n">
        <f aca="false">$AA285*(1+IF($Z286=1,N($G286),0))</f>
        <v>1.0035</v>
      </c>
      <c r="AB286" s="0" t="str">
        <f aca="false">IF($F286="","",IFERROR(INDEX(Cilësimet!$B$6:$B$10,MATCH($F286,Cilësimet!$A$6:$A$10,0)),""))</f>
        <v/>
      </c>
    </row>
    <row r="287" customFormat="false" ht="18.75" hidden="false" customHeight="true" outlineLevel="0" collapsed="false">
      <c r="A287" s="1"/>
      <c r="B287" s="17"/>
      <c r="C287" s="18"/>
      <c r="D287" s="18"/>
      <c r="E287" s="19"/>
      <c r="F287" s="20"/>
      <c r="G287" s="21" t="str">
        <f aca="false">IF($AB287="","",Cilësimet!$C$3*(INDEX(Cilësimet!$C$6:$C$10,MATCH($F287,Cilësimet!$A$6:$A$10,0))*N($E287)+INDEX(Cilësimet!$D$6:$D$10,MATCH($F287,Cilësimet!$A$6:$A$10,0))))</f>
        <v/>
      </c>
      <c r="H287" s="22" t="str">
        <f aca="false">IF($Z287=1,$AA287-1,"")</f>
        <v/>
      </c>
      <c r="I287" s="23"/>
      <c r="J287" s="1"/>
      <c r="K287" s="1"/>
      <c r="L287" s="1"/>
      <c r="M287" s="1"/>
      <c r="N287" s="1"/>
      <c r="O287" s="1"/>
      <c r="P287" s="1"/>
      <c r="Q287" s="1"/>
      <c r="R287" s="1"/>
      <c r="S287" s="1"/>
      <c r="Z287" s="24" t="n">
        <f aca="false">IF($AB287="",0,IF(ISNUMBER($B287),IF(AND($B287&gt;=N($B$3),OR(NOT(ISNUMBER($D$3)),$B287&lt;=$D$3)),1,0),1))</f>
        <v>0</v>
      </c>
      <c r="AA287" s="24" t="n">
        <f aca="false">$AA286*(1+IF($Z287=1,N($G287),0))</f>
        <v>1.0035</v>
      </c>
      <c r="AB287" s="0" t="str">
        <f aca="false">IF($F287="","",IFERROR(INDEX(Cilësimet!$B$6:$B$10,MATCH($F287,Cilësimet!$A$6:$A$10,0)),""))</f>
        <v/>
      </c>
    </row>
    <row r="288" customFormat="false" ht="18.75" hidden="false" customHeight="true" outlineLevel="0" collapsed="false">
      <c r="A288" s="1"/>
      <c r="B288" s="17"/>
      <c r="C288" s="18"/>
      <c r="D288" s="18"/>
      <c r="E288" s="19"/>
      <c r="F288" s="20"/>
      <c r="G288" s="21" t="str">
        <f aca="false">IF($AB288="","",Cilësimet!$C$3*(INDEX(Cilësimet!$C$6:$C$10,MATCH($F288,Cilësimet!$A$6:$A$10,0))*N($E288)+INDEX(Cilësimet!$D$6:$D$10,MATCH($F288,Cilësimet!$A$6:$A$10,0))))</f>
        <v/>
      </c>
      <c r="H288" s="22" t="str">
        <f aca="false">IF($Z288=1,$AA288-1,"")</f>
        <v/>
      </c>
      <c r="I288" s="23"/>
      <c r="J288" s="1"/>
      <c r="K288" s="1"/>
      <c r="L288" s="1"/>
      <c r="M288" s="1"/>
      <c r="N288" s="1"/>
      <c r="O288" s="1"/>
      <c r="P288" s="1"/>
      <c r="Q288" s="1"/>
      <c r="R288" s="1"/>
      <c r="S288" s="1"/>
      <c r="Z288" s="24" t="n">
        <f aca="false">IF($AB288="",0,IF(ISNUMBER($B288),IF(AND($B288&gt;=N($B$3),OR(NOT(ISNUMBER($D$3)),$B288&lt;=$D$3)),1,0),1))</f>
        <v>0</v>
      </c>
      <c r="AA288" s="24" t="n">
        <f aca="false">$AA287*(1+IF($Z288=1,N($G288),0))</f>
        <v>1.0035</v>
      </c>
      <c r="AB288" s="0" t="str">
        <f aca="false">IF($F288="","",IFERROR(INDEX(Cilësimet!$B$6:$B$10,MATCH($F288,Cilësimet!$A$6:$A$10,0)),""))</f>
        <v/>
      </c>
    </row>
    <row r="289" customFormat="false" ht="18.75" hidden="false" customHeight="true" outlineLevel="0" collapsed="false">
      <c r="A289" s="1"/>
      <c r="B289" s="17"/>
      <c r="C289" s="18"/>
      <c r="D289" s="18"/>
      <c r="E289" s="19"/>
      <c r="F289" s="20"/>
      <c r="G289" s="21" t="str">
        <f aca="false">IF($AB289="","",Cilësimet!$C$3*(INDEX(Cilësimet!$C$6:$C$10,MATCH($F289,Cilësimet!$A$6:$A$10,0))*N($E289)+INDEX(Cilësimet!$D$6:$D$10,MATCH($F289,Cilësimet!$A$6:$A$10,0))))</f>
        <v/>
      </c>
      <c r="H289" s="22" t="str">
        <f aca="false">IF($Z289=1,$AA289-1,"")</f>
        <v/>
      </c>
      <c r="I289" s="23"/>
      <c r="J289" s="1"/>
      <c r="K289" s="1"/>
      <c r="L289" s="1"/>
      <c r="M289" s="1"/>
      <c r="N289" s="1"/>
      <c r="O289" s="1"/>
      <c r="P289" s="1"/>
      <c r="Q289" s="1"/>
      <c r="R289" s="1"/>
      <c r="S289" s="1"/>
      <c r="Z289" s="24" t="n">
        <f aca="false">IF($AB289="",0,IF(ISNUMBER($B289),IF(AND($B289&gt;=N($B$3),OR(NOT(ISNUMBER($D$3)),$B289&lt;=$D$3)),1,0),1))</f>
        <v>0</v>
      </c>
      <c r="AA289" s="24" t="n">
        <f aca="false">$AA288*(1+IF($Z289=1,N($G289),0))</f>
        <v>1.0035</v>
      </c>
      <c r="AB289" s="0" t="str">
        <f aca="false">IF($F289="","",IFERROR(INDEX(Cilësimet!$B$6:$B$10,MATCH($F289,Cilësimet!$A$6:$A$10,0)),""))</f>
        <v/>
      </c>
    </row>
    <row r="290" customFormat="false" ht="18.75" hidden="false" customHeight="true" outlineLevel="0" collapsed="false">
      <c r="A290" s="1"/>
      <c r="B290" s="17"/>
      <c r="C290" s="18"/>
      <c r="D290" s="18"/>
      <c r="E290" s="19"/>
      <c r="F290" s="20"/>
      <c r="G290" s="21" t="str">
        <f aca="false">IF($AB290="","",Cilësimet!$C$3*(INDEX(Cilësimet!$C$6:$C$10,MATCH($F290,Cilësimet!$A$6:$A$10,0))*N($E290)+INDEX(Cilësimet!$D$6:$D$10,MATCH($F290,Cilësimet!$A$6:$A$10,0))))</f>
        <v/>
      </c>
      <c r="H290" s="22" t="str">
        <f aca="false">IF($Z290=1,$AA290-1,"")</f>
        <v/>
      </c>
      <c r="I290" s="23"/>
      <c r="J290" s="1"/>
      <c r="K290" s="1"/>
      <c r="L290" s="1"/>
      <c r="M290" s="1"/>
      <c r="N290" s="1"/>
      <c r="O290" s="1"/>
      <c r="P290" s="1"/>
      <c r="Q290" s="1"/>
      <c r="R290" s="1"/>
      <c r="S290" s="1"/>
      <c r="Z290" s="24" t="n">
        <f aca="false">IF($AB290="",0,IF(ISNUMBER($B290),IF(AND($B290&gt;=N($B$3),OR(NOT(ISNUMBER($D$3)),$B290&lt;=$D$3)),1,0),1))</f>
        <v>0</v>
      </c>
      <c r="AA290" s="24" t="n">
        <f aca="false">$AA289*(1+IF($Z290=1,N($G290),0))</f>
        <v>1.0035</v>
      </c>
      <c r="AB290" s="0" t="str">
        <f aca="false">IF($F290="","",IFERROR(INDEX(Cilësimet!$B$6:$B$10,MATCH($F290,Cilësimet!$A$6:$A$10,0)),""))</f>
        <v/>
      </c>
    </row>
    <row r="291" customFormat="false" ht="18.75" hidden="false" customHeight="true" outlineLevel="0" collapsed="false">
      <c r="A291" s="1"/>
      <c r="B291" s="17"/>
      <c r="C291" s="18"/>
      <c r="D291" s="18"/>
      <c r="E291" s="19"/>
      <c r="F291" s="20"/>
      <c r="G291" s="21" t="str">
        <f aca="false">IF($AB291="","",Cilësimet!$C$3*(INDEX(Cilësimet!$C$6:$C$10,MATCH($F291,Cilësimet!$A$6:$A$10,0))*N($E291)+INDEX(Cilësimet!$D$6:$D$10,MATCH($F291,Cilësimet!$A$6:$A$10,0))))</f>
        <v/>
      </c>
      <c r="H291" s="22" t="str">
        <f aca="false">IF($Z291=1,$AA291-1,"")</f>
        <v/>
      </c>
      <c r="I291" s="23"/>
      <c r="J291" s="1"/>
      <c r="K291" s="1"/>
      <c r="L291" s="1"/>
      <c r="M291" s="1"/>
      <c r="N291" s="1"/>
      <c r="O291" s="1"/>
      <c r="P291" s="1"/>
      <c r="Q291" s="1"/>
      <c r="R291" s="1"/>
      <c r="S291" s="1"/>
      <c r="Z291" s="24" t="n">
        <f aca="false">IF($AB291="",0,IF(ISNUMBER($B291),IF(AND($B291&gt;=N($B$3),OR(NOT(ISNUMBER($D$3)),$B291&lt;=$D$3)),1,0),1))</f>
        <v>0</v>
      </c>
      <c r="AA291" s="24" t="n">
        <f aca="false">$AA290*(1+IF($Z291=1,N($G291),0))</f>
        <v>1.0035</v>
      </c>
      <c r="AB291" s="0" t="str">
        <f aca="false">IF($F291="","",IFERROR(INDEX(Cilësimet!$B$6:$B$10,MATCH($F291,Cilësimet!$A$6:$A$10,0)),""))</f>
        <v/>
      </c>
    </row>
    <row r="292" customFormat="false" ht="18.75" hidden="false" customHeight="true" outlineLevel="0" collapsed="false">
      <c r="A292" s="1"/>
      <c r="B292" s="17"/>
      <c r="C292" s="18"/>
      <c r="D292" s="18"/>
      <c r="E292" s="19"/>
      <c r="F292" s="20"/>
      <c r="G292" s="21" t="str">
        <f aca="false">IF($AB292="","",Cilësimet!$C$3*(INDEX(Cilësimet!$C$6:$C$10,MATCH($F292,Cilësimet!$A$6:$A$10,0))*N($E292)+INDEX(Cilësimet!$D$6:$D$10,MATCH($F292,Cilësimet!$A$6:$A$10,0))))</f>
        <v/>
      </c>
      <c r="H292" s="22" t="str">
        <f aca="false">IF($Z292=1,$AA292-1,"")</f>
        <v/>
      </c>
      <c r="I292" s="23"/>
      <c r="J292" s="1"/>
      <c r="K292" s="1"/>
      <c r="L292" s="1"/>
      <c r="M292" s="1"/>
      <c r="N292" s="1"/>
      <c r="O292" s="1"/>
      <c r="P292" s="1"/>
      <c r="Q292" s="1"/>
      <c r="R292" s="1"/>
      <c r="S292" s="1"/>
      <c r="Z292" s="24" t="n">
        <f aca="false">IF($AB292="",0,IF(ISNUMBER($B292),IF(AND($B292&gt;=N($B$3),OR(NOT(ISNUMBER($D$3)),$B292&lt;=$D$3)),1,0),1))</f>
        <v>0</v>
      </c>
      <c r="AA292" s="24" t="n">
        <f aca="false">$AA291*(1+IF($Z292=1,N($G292),0))</f>
        <v>1.0035</v>
      </c>
      <c r="AB292" s="0" t="str">
        <f aca="false">IF($F292="","",IFERROR(INDEX(Cilësimet!$B$6:$B$10,MATCH($F292,Cilësimet!$A$6:$A$10,0)),""))</f>
        <v/>
      </c>
    </row>
    <row r="293" customFormat="false" ht="18.75" hidden="false" customHeight="true" outlineLevel="0" collapsed="false">
      <c r="A293" s="1"/>
      <c r="B293" s="17"/>
      <c r="C293" s="18"/>
      <c r="D293" s="18"/>
      <c r="E293" s="19"/>
      <c r="F293" s="20"/>
      <c r="G293" s="21" t="str">
        <f aca="false">IF($AB293="","",Cilësimet!$C$3*(INDEX(Cilësimet!$C$6:$C$10,MATCH($F293,Cilësimet!$A$6:$A$10,0))*N($E293)+INDEX(Cilësimet!$D$6:$D$10,MATCH($F293,Cilësimet!$A$6:$A$10,0))))</f>
        <v/>
      </c>
      <c r="H293" s="22" t="str">
        <f aca="false">IF($Z293=1,$AA293-1,"")</f>
        <v/>
      </c>
      <c r="I293" s="23"/>
      <c r="J293" s="1"/>
      <c r="K293" s="1"/>
      <c r="L293" s="1"/>
      <c r="M293" s="1"/>
      <c r="N293" s="1"/>
      <c r="O293" s="1"/>
      <c r="P293" s="1"/>
      <c r="Q293" s="1"/>
      <c r="R293" s="1"/>
      <c r="S293" s="1"/>
      <c r="Z293" s="24" t="n">
        <f aca="false">IF($AB293="",0,IF(ISNUMBER($B293),IF(AND($B293&gt;=N($B$3),OR(NOT(ISNUMBER($D$3)),$B293&lt;=$D$3)),1,0),1))</f>
        <v>0</v>
      </c>
      <c r="AA293" s="24" t="n">
        <f aca="false">$AA292*(1+IF($Z293=1,N($G293),0))</f>
        <v>1.0035</v>
      </c>
      <c r="AB293" s="0" t="str">
        <f aca="false">IF($F293="","",IFERROR(INDEX(Cilësimet!$B$6:$B$10,MATCH($F293,Cilësimet!$A$6:$A$10,0)),""))</f>
        <v/>
      </c>
    </row>
    <row r="294" customFormat="false" ht="18.75" hidden="false" customHeight="true" outlineLevel="0" collapsed="false">
      <c r="A294" s="1"/>
      <c r="B294" s="17"/>
      <c r="C294" s="18"/>
      <c r="D294" s="18"/>
      <c r="E294" s="19"/>
      <c r="F294" s="20"/>
      <c r="G294" s="21" t="str">
        <f aca="false">IF($AB294="","",Cilësimet!$C$3*(INDEX(Cilësimet!$C$6:$C$10,MATCH($F294,Cilësimet!$A$6:$A$10,0))*N($E294)+INDEX(Cilësimet!$D$6:$D$10,MATCH($F294,Cilësimet!$A$6:$A$10,0))))</f>
        <v/>
      </c>
      <c r="H294" s="22" t="str">
        <f aca="false">IF($Z294=1,$AA294-1,"")</f>
        <v/>
      </c>
      <c r="I294" s="23"/>
      <c r="J294" s="1"/>
      <c r="K294" s="1"/>
      <c r="L294" s="1"/>
      <c r="M294" s="1"/>
      <c r="N294" s="1"/>
      <c r="O294" s="1"/>
      <c r="P294" s="1"/>
      <c r="Q294" s="1"/>
      <c r="R294" s="1"/>
      <c r="S294" s="1"/>
      <c r="Z294" s="24" t="n">
        <f aca="false">IF($AB294="",0,IF(ISNUMBER($B294),IF(AND($B294&gt;=N($B$3),OR(NOT(ISNUMBER($D$3)),$B294&lt;=$D$3)),1,0),1))</f>
        <v>0</v>
      </c>
      <c r="AA294" s="24" t="n">
        <f aca="false">$AA293*(1+IF($Z294=1,N($G294),0))</f>
        <v>1.0035</v>
      </c>
      <c r="AB294" s="0" t="str">
        <f aca="false">IF($F294="","",IFERROR(INDEX(Cilësimet!$B$6:$B$10,MATCH($F294,Cilësimet!$A$6:$A$10,0)),""))</f>
        <v/>
      </c>
    </row>
    <row r="295" customFormat="false" ht="18.75" hidden="false" customHeight="true" outlineLevel="0" collapsed="false">
      <c r="A295" s="1"/>
      <c r="B295" s="17"/>
      <c r="C295" s="18"/>
      <c r="D295" s="18"/>
      <c r="E295" s="19"/>
      <c r="F295" s="20"/>
      <c r="G295" s="21" t="str">
        <f aca="false">IF($AB295="","",Cilësimet!$C$3*(INDEX(Cilësimet!$C$6:$C$10,MATCH($F295,Cilësimet!$A$6:$A$10,0))*N($E295)+INDEX(Cilësimet!$D$6:$D$10,MATCH($F295,Cilësimet!$A$6:$A$10,0))))</f>
        <v/>
      </c>
      <c r="H295" s="22" t="str">
        <f aca="false">IF($Z295=1,$AA295-1,"")</f>
        <v/>
      </c>
      <c r="I295" s="23"/>
      <c r="J295" s="1"/>
      <c r="K295" s="1"/>
      <c r="L295" s="1"/>
      <c r="M295" s="1"/>
      <c r="N295" s="1"/>
      <c r="O295" s="1"/>
      <c r="P295" s="1"/>
      <c r="Q295" s="1"/>
      <c r="R295" s="1"/>
      <c r="S295" s="1"/>
      <c r="Z295" s="24" t="n">
        <f aca="false">IF($AB295="",0,IF(ISNUMBER($B295),IF(AND($B295&gt;=N($B$3),OR(NOT(ISNUMBER($D$3)),$B295&lt;=$D$3)),1,0),1))</f>
        <v>0</v>
      </c>
      <c r="AA295" s="24" t="n">
        <f aca="false">$AA294*(1+IF($Z295=1,N($G295),0))</f>
        <v>1.0035</v>
      </c>
      <c r="AB295" s="0" t="str">
        <f aca="false">IF($F295="","",IFERROR(INDEX(Cilësimet!$B$6:$B$10,MATCH($F295,Cilësimet!$A$6:$A$10,0)),""))</f>
        <v/>
      </c>
    </row>
    <row r="296" customFormat="false" ht="18.75" hidden="false" customHeight="true" outlineLevel="0" collapsed="false">
      <c r="A296" s="1"/>
      <c r="B296" s="17"/>
      <c r="C296" s="18"/>
      <c r="D296" s="18"/>
      <c r="E296" s="19"/>
      <c r="F296" s="20"/>
      <c r="G296" s="21" t="str">
        <f aca="false">IF($AB296="","",Cilësimet!$C$3*(INDEX(Cilësimet!$C$6:$C$10,MATCH($F296,Cilësimet!$A$6:$A$10,0))*N($E296)+INDEX(Cilësimet!$D$6:$D$10,MATCH($F296,Cilësimet!$A$6:$A$10,0))))</f>
        <v/>
      </c>
      <c r="H296" s="22" t="str">
        <f aca="false">IF($Z296=1,$AA296-1,"")</f>
        <v/>
      </c>
      <c r="I296" s="23"/>
      <c r="J296" s="1"/>
      <c r="K296" s="1"/>
      <c r="L296" s="1"/>
      <c r="M296" s="1"/>
      <c r="N296" s="1"/>
      <c r="O296" s="1"/>
      <c r="P296" s="1"/>
      <c r="Q296" s="1"/>
      <c r="R296" s="1"/>
      <c r="S296" s="1"/>
      <c r="Z296" s="24" t="n">
        <f aca="false">IF($AB296="",0,IF(ISNUMBER($B296),IF(AND($B296&gt;=N($B$3),OR(NOT(ISNUMBER($D$3)),$B296&lt;=$D$3)),1,0),1))</f>
        <v>0</v>
      </c>
      <c r="AA296" s="24" t="n">
        <f aca="false">$AA295*(1+IF($Z296=1,N($G296),0))</f>
        <v>1.0035</v>
      </c>
      <c r="AB296" s="0" t="str">
        <f aca="false">IF($F296="","",IFERROR(INDEX(Cilësimet!$B$6:$B$10,MATCH($F296,Cilësimet!$A$6:$A$10,0)),""))</f>
        <v/>
      </c>
    </row>
    <row r="297" customFormat="false" ht="18.75" hidden="false" customHeight="true" outlineLevel="0" collapsed="false">
      <c r="A297" s="1"/>
      <c r="B297" s="17"/>
      <c r="C297" s="18"/>
      <c r="D297" s="18"/>
      <c r="E297" s="19"/>
      <c r="F297" s="20"/>
      <c r="G297" s="21" t="str">
        <f aca="false">IF($AB297="","",Cilësimet!$C$3*(INDEX(Cilësimet!$C$6:$C$10,MATCH($F297,Cilësimet!$A$6:$A$10,0))*N($E297)+INDEX(Cilësimet!$D$6:$D$10,MATCH($F297,Cilësimet!$A$6:$A$10,0))))</f>
        <v/>
      </c>
      <c r="H297" s="22" t="str">
        <f aca="false">IF($Z297=1,$AA297-1,"")</f>
        <v/>
      </c>
      <c r="I297" s="23"/>
      <c r="J297" s="1"/>
      <c r="K297" s="1"/>
      <c r="L297" s="1"/>
      <c r="M297" s="1"/>
      <c r="N297" s="1"/>
      <c r="O297" s="1"/>
      <c r="P297" s="1"/>
      <c r="Q297" s="1"/>
      <c r="R297" s="1"/>
      <c r="S297" s="1"/>
      <c r="Z297" s="24" t="n">
        <f aca="false">IF($AB297="",0,IF(ISNUMBER($B297),IF(AND($B297&gt;=N($B$3),OR(NOT(ISNUMBER($D$3)),$B297&lt;=$D$3)),1,0),1))</f>
        <v>0</v>
      </c>
      <c r="AA297" s="24" t="n">
        <f aca="false">$AA296*(1+IF($Z297=1,N($G297),0))</f>
        <v>1.0035</v>
      </c>
      <c r="AB297" s="0" t="str">
        <f aca="false">IF($F297="","",IFERROR(INDEX(Cilësimet!$B$6:$B$10,MATCH($F297,Cilësimet!$A$6:$A$10,0)),""))</f>
        <v/>
      </c>
    </row>
    <row r="298" customFormat="false" ht="18.75" hidden="false" customHeight="true" outlineLevel="0" collapsed="false">
      <c r="A298" s="1"/>
      <c r="B298" s="17"/>
      <c r="C298" s="18"/>
      <c r="D298" s="18"/>
      <c r="E298" s="19"/>
      <c r="F298" s="20"/>
      <c r="G298" s="21" t="str">
        <f aca="false">IF($AB298="","",Cilësimet!$C$3*(INDEX(Cilësimet!$C$6:$C$10,MATCH($F298,Cilësimet!$A$6:$A$10,0))*N($E298)+INDEX(Cilësimet!$D$6:$D$10,MATCH($F298,Cilësimet!$A$6:$A$10,0))))</f>
        <v/>
      </c>
      <c r="H298" s="22" t="str">
        <f aca="false">IF($Z298=1,$AA298-1,"")</f>
        <v/>
      </c>
      <c r="I298" s="23"/>
      <c r="J298" s="1"/>
      <c r="K298" s="1"/>
      <c r="L298" s="1"/>
      <c r="M298" s="1"/>
      <c r="N298" s="1"/>
      <c r="O298" s="1"/>
      <c r="P298" s="1"/>
      <c r="Q298" s="1"/>
      <c r="R298" s="1"/>
      <c r="S298" s="1"/>
      <c r="Z298" s="24" t="n">
        <f aca="false">IF($AB298="",0,IF(ISNUMBER($B298),IF(AND($B298&gt;=N($B$3),OR(NOT(ISNUMBER($D$3)),$B298&lt;=$D$3)),1,0),1))</f>
        <v>0</v>
      </c>
      <c r="AA298" s="24" t="n">
        <f aca="false">$AA297*(1+IF($Z298=1,N($G298),0))</f>
        <v>1.0035</v>
      </c>
      <c r="AB298" s="0" t="str">
        <f aca="false">IF($F298="","",IFERROR(INDEX(Cilësimet!$B$6:$B$10,MATCH($F298,Cilësimet!$A$6:$A$10,0)),""))</f>
        <v/>
      </c>
    </row>
    <row r="299" customFormat="false" ht="18.75" hidden="false" customHeight="true" outlineLevel="0" collapsed="false">
      <c r="A299" s="1"/>
      <c r="B299" s="17"/>
      <c r="C299" s="18"/>
      <c r="D299" s="18"/>
      <c r="E299" s="19"/>
      <c r="F299" s="20"/>
      <c r="G299" s="21" t="str">
        <f aca="false">IF($AB299="","",Cilësimet!$C$3*(INDEX(Cilësimet!$C$6:$C$10,MATCH($F299,Cilësimet!$A$6:$A$10,0))*N($E299)+INDEX(Cilësimet!$D$6:$D$10,MATCH($F299,Cilësimet!$A$6:$A$10,0))))</f>
        <v/>
      </c>
      <c r="H299" s="22" t="str">
        <f aca="false">IF($Z299=1,$AA299-1,"")</f>
        <v/>
      </c>
      <c r="I299" s="23"/>
      <c r="J299" s="1"/>
      <c r="K299" s="1"/>
      <c r="L299" s="1"/>
      <c r="M299" s="1"/>
      <c r="N299" s="1"/>
      <c r="O299" s="1"/>
      <c r="P299" s="1"/>
      <c r="Q299" s="1"/>
      <c r="R299" s="1"/>
      <c r="S299" s="1"/>
      <c r="Z299" s="24" t="n">
        <f aca="false">IF($AB299="",0,IF(ISNUMBER($B299),IF(AND($B299&gt;=N($B$3),OR(NOT(ISNUMBER($D$3)),$B299&lt;=$D$3)),1,0),1))</f>
        <v>0</v>
      </c>
      <c r="AA299" s="24" t="n">
        <f aca="false">$AA298*(1+IF($Z299=1,N($G299),0))</f>
        <v>1.0035</v>
      </c>
      <c r="AB299" s="0" t="str">
        <f aca="false">IF($F299="","",IFERROR(INDEX(Cilësimet!$B$6:$B$10,MATCH($F299,Cilësimet!$A$6:$A$10,0)),""))</f>
        <v/>
      </c>
    </row>
    <row r="300" customFormat="false" ht="18.75" hidden="false" customHeight="true" outlineLevel="0" collapsed="false">
      <c r="A300" s="1"/>
      <c r="B300" s="17"/>
      <c r="C300" s="18"/>
      <c r="D300" s="18"/>
      <c r="E300" s="19"/>
      <c r="F300" s="20"/>
      <c r="G300" s="21" t="str">
        <f aca="false">IF($AB300="","",Cilësimet!$C$3*(INDEX(Cilësimet!$C$6:$C$10,MATCH($F300,Cilësimet!$A$6:$A$10,0))*N($E300)+INDEX(Cilësimet!$D$6:$D$10,MATCH($F300,Cilësimet!$A$6:$A$10,0))))</f>
        <v/>
      </c>
      <c r="H300" s="22" t="str">
        <f aca="false">IF($Z300=1,$AA300-1,"")</f>
        <v/>
      </c>
      <c r="I300" s="23"/>
      <c r="J300" s="1"/>
      <c r="K300" s="1"/>
      <c r="L300" s="1"/>
      <c r="M300" s="1"/>
      <c r="N300" s="1"/>
      <c r="O300" s="1"/>
      <c r="P300" s="1"/>
      <c r="Q300" s="1"/>
      <c r="R300" s="1"/>
      <c r="S300" s="1"/>
      <c r="Z300" s="24" t="n">
        <f aca="false">IF($AB300="",0,IF(ISNUMBER($B300),IF(AND($B300&gt;=N($B$3),OR(NOT(ISNUMBER($D$3)),$B300&lt;=$D$3)),1,0),1))</f>
        <v>0</v>
      </c>
      <c r="AA300" s="24" t="n">
        <f aca="false">$AA299*(1+IF($Z300=1,N($G300),0))</f>
        <v>1.0035</v>
      </c>
      <c r="AB300" s="0" t="str">
        <f aca="false">IF($F300="","",IFERROR(INDEX(Cilësimet!$B$6:$B$10,MATCH($F300,Cilësimet!$A$6:$A$10,0)),""))</f>
        <v/>
      </c>
    </row>
    <row r="301" customFormat="false" ht="18.75" hidden="false" customHeight="true" outlineLevel="0" collapsed="false">
      <c r="A301" s="1"/>
      <c r="B301" s="17"/>
      <c r="C301" s="18"/>
      <c r="D301" s="18"/>
      <c r="E301" s="19"/>
      <c r="F301" s="20"/>
      <c r="G301" s="21" t="str">
        <f aca="false">IF($AB301="","",Cilësimet!$C$3*(INDEX(Cilësimet!$C$6:$C$10,MATCH($F301,Cilësimet!$A$6:$A$10,0))*N($E301)+INDEX(Cilësimet!$D$6:$D$10,MATCH($F301,Cilësimet!$A$6:$A$10,0))))</f>
        <v/>
      </c>
      <c r="H301" s="22" t="str">
        <f aca="false">IF($Z301=1,$AA301-1,"")</f>
        <v/>
      </c>
      <c r="I301" s="23"/>
      <c r="J301" s="1"/>
      <c r="K301" s="1"/>
      <c r="L301" s="1"/>
      <c r="M301" s="1"/>
      <c r="N301" s="1"/>
      <c r="O301" s="1"/>
      <c r="P301" s="1"/>
      <c r="Q301" s="1"/>
      <c r="R301" s="1"/>
      <c r="S301" s="1"/>
      <c r="Z301" s="24" t="n">
        <f aca="false">IF($AB301="",0,IF(ISNUMBER($B301),IF(AND($B301&gt;=N($B$3),OR(NOT(ISNUMBER($D$3)),$B301&lt;=$D$3)),1,0),1))</f>
        <v>0</v>
      </c>
      <c r="AA301" s="24" t="n">
        <f aca="false">$AA300*(1+IF($Z301=1,N($G301),0))</f>
        <v>1.0035</v>
      </c>
      <c r="AB301" s="0" t="str">
        <f aca="false">IF($F301="","",IFERROR(INDEX(Cilësimet!$B$6:$B$10,MATCH($F301,Cilësimet!$A$6:$A$10,0)),""))</f>
        <v/>
      </c>
    </row>
    <row r="302" customFormat="false" ht="18.75" hidden="false" customHeight="true" outlineLevel="0" collapsed="false">
      <c r="A302" s="1"/>
      <c r="B302" s="17"/>
      <c r="C302" s="18"/>
      <c r="D302" s="18"/>
      <c r="E302" s="19"/>
      <c r="F302" s="20"/>
      <c r="G302" s="21" t="str">
        <f aca="false">IF($AB302="","",Cilësimet!$C$3*(INDEX(Cilësimet!$C$6:$C$10,MATCH($F302,Cilësimet!$A$6:$A$10,0))*N($E302)+INDEX(Cilësimet!$D$6:$D$10,MATCH($F302,Cilësimet!$A$6:$A$10,0))))</f>
        <v/>
      </c>
      <c r="H302" s="22" t="str">
        <f aca="false">IF($Z302=1,$AA302-1,"")</f>
        <v/>
      </c>
      <c r="I302" s="23"/>
      <c r="J302" s="1"/>
      <c r="K302" s="1"/>
      <c r="L302" s="1"/>
      <c r="M302" s="1"/>
      <c r="N302" s="1"/>
      <c r="O302" s="1"/>
      <c r="P302" s="1"/>
      <c r="Q302" s="1"/>
      <c r="R302" s="1"/>
      <c r="S302" s="1"/>
      <c r="Z302" s="24" t="n">
        <f aca="false">IF($AB302="",0,IF(ISNUMBER($B302),IF(AND($B302&gt;=N($B$3),OR(NOT(ISNUMBER($D$3)),$B302&lt;=$D$3)),1,0),1))</f>
        <v>0</v>
      </c>
      <c r="AA302" s="24" t="n">
        <f aca="false">$AA301*(1+IF($Z302=1,N($G302),0))</f>
        <v>1.0035</v>
      </c>
      <c r="AB302" s="0" t="str">
        <f aca="false">IF($F302="","",IFERROR(INDEX(Cilësimet!$B$6:$B$10,MATCH($F302,Cilësimet!$A$6:$A$10,0)),""))</f>
        <v/>
      </c>
    </row>
    <row r="303" customFormat="false" ht="18.75" hidden="false" customHeight="true" outlineLevel="0" collapsed="false">
      <c r="A303" s="1"/>
      <c r="B303" s="17"/>
      <c r="C303" s="18"/>
      <c r="D303" s="18"/>
      <c r="E303" s="19"/>
      <c r="F303" s="20"/>
      <c r="G303" s="21" t="str">
        <f aca="false">IF($AB303="","",Cilësimet!$C$3*(INDEX(Cilësimet!$C$6:$C$10,MATCH($F303,Cilësimet!$A$6:$A$10,0))*N($E303)+INDEX(Cilësimet!$D$6:$D$10,MATCH($F303,Cilësimet!$A$6:$A$10,0))))</f>
        <v/>
      </c>
      <c r="H303" s="22" t="str">
        <f aca="false">IF($Z303=1,$AA303-1,"")</f>
        <v/>
      </c>
      <c r="I303" s="23"/>
      <c r="J303" s="1"/>
      <c r="K303" s="1"/>
      <c r="L303" s="1"/>
      <c r="M303" s="1"/>
      <c r="N303" s="1"/>
      <c r="O303" s="1"/>
      <c r="P303" s="1"/>
      <c r="Q303" s="1"/>
      <c r="R303" s="1"/>
      <c r="S303" s="1"/>
      <c r="Z303" s="24" t="n">
        <f aca="false">IF($AB303="",0,IF(ISNUMBER($B303),IF(AND($B303&gt;=N($B$3),OR(NOT(ISNUMBER($D$3)),$B303&lt;=$D$3)),1,0),1))</f>
        <v>0</v>
      </c>
      <c r="AA303" s="24" t="n">
        <f aca="false">$AA302*(1+IF($Z303=1,N($G303),0))</f>
        <v>1.0035</v>
      </c>
      <c r="AB303" s="0" t="str">
        <f aca="false">IF($F303="","",IFERROR(INDEX(Cilësimet!$B$6:$B$10,MATCH($F303,Cilësimet!$A$6:$A$10,0)),""))</f>
        <v/>
      </c>
    </row>
    <row r="304" customFormat="false" ht="18.75" hidden="false" customHeight="true" outlineLevel="0" collapsed="false">
      <c r="A304" s="1"/>
      <c r="B304" s="17"/>
      <c r="C304" s="18"/>
      <c r="D304" s="18"/>
      <c r="E304" s="19"/>
      <c r="F304" s="20"/>
      <c r="G304" s="21" t="str">
        <f aca="false">IF($AB304="","",Cilësimet!$C$3*(INDEX(Cilësimet!$C$6:$C$10,MATCH($F304,Cilësimet!$A$6:$A$10,0))*N($E304)+INDEX(Cilësimet!$D$6:$D$10,MATCH($F304,Cilësimet!$A$6:$A$10,0))))</f>
        <v/>
      </c>
      <c r="H304" s="22" t="str">
        <f aca="false">IF($Z304=1,$AA304-1,"")</f>
        <v/>
      </c>
      <c r="I304" s="23"/>
      <c r="J304" s="1"/>
      <c r="K304" s="1"/>
      <c r="L304" s="1"/>
      <c r="M304" s="1"/>
      <c r="N304" s="1"/>
      <c r="O304" s="1"/>
      <c r="P304" s="1"/>
      <c r="Q304" s="1"/>
      <c r="R304" s="1"/>
      <c r="S304" s="1"/>
      <c r="Z304" s="24" t="n">
        <f aca="false">IF($AB304="",0,IF(ISNUMBER($B304),IF(AND($B304&gt;=N($B$3),OR(NOT(ISNUMBER($D$3)),$B304&lt;=$D$3)),1,0),1))</f>
        <v>0</v>
      </c>
      <c r="AA304" s="24" t="n">
        <f aca="false">$AA303*(1+IF($Z304=1,N($G304),0))</f>
        <v>1.0035</v>
      </c>
      <c r="AB304" s="0" t="str">
        <f aca="false">IF($F304="","",IFERROR(INDEX(Cilësimet!$B$6:$B$10,MATCH($F304,Cilësimet!$A$6:$A$10,0)),""))</f>
        <v/>
      </c>
    </row>
    <row r="305" customFormat="false" ht="18.75" hidden="false" customHeight="true" outlineLevel="0" collapsed="false">
      <c r="A305" s="1"/>
      <c r="B305" s="17"/>
      <c r="C305" s="18"/>
      <c r="D305" s="18"/>
      <c r="E305" s="19"/>
      <c r="F305" s="20"/>
      <c r="G305" s="21" t="str">
        <f aca="false">IF($AB305="","",Cilësimet!$C$3*(INDEX(Cilësimet!$C$6:$C$10,MATCH($F305,Cilësimet!$A$6:$A$10,0))*N($E305)+INDEX(Cilësimet!$D$6:$D$10,MATCH($F305,Cilësimet!$A$6:$A$10,0))))</f>
        <v/>
      </c>
      <c r="H305" s="22" t="str">
        <f aca="false">IF($Z305=1,$AA305-1,"")</f>
        <v/>
      </c>
      <c r="I305" s="23"/>
      <c r="J305" s="1"/>
      <c r="K305" s="1"/>
      <c r="L305" s="1"/>
      <c r="M305" s="1"/>
      <c r="N305" s="1"/>
      <c r="O305" s="1"/>
      <c r="P305" s="1"/>
      <c r="Q305" s="1"/>
      <c r="R305" s="1"/>
      <c r="S305" s="1"/>
      <c r="Z305" s="24" t="n">
        <f aca="false">IF($AB305="",0,IF(ISNUMBER($B305),IF(AND($B305&gt;=N($B$3),OR(NOT(ISNUMBER($D$3)),$B305&lt;=$D$3)),1,0),1))</f>
        <v>0</v>
      </c>
      <c r="AA305" s="24" t="n">
        <f aca="false">$AA304*(1+IF($Z305=1,N($G305),0))</f>
        <v>1.0035</v>
      </c>
      <c r="AB305" s="0" t="str">
        <f aca="false">IF($F305="","",IFERROR(INDEX(Cilësimet!$B$6:$B$10,MATCH($F305,Cilësimet!$A$6:$A$10,0)),""))</f>
        <v/>
      </c>
    </row>
    <row r="306" customFormat="false" ht="18.75" hidden="false" customHeight="true" outlineLevel="0" collapsed="false">
      <c r="A306" s="1"/>
      <c r="B306" s="17"/>
      <c r="C306" s="18"/>
      <c r="D306" s="18"/>
      <c r="E306" s="19"/>
      <c r="F306" s="20"/>
      <c r="G306" s="21" t="str">
        <f aca="false">IF($AB306="","",Cilësimet!$C$3*(INDEX(Cilësimet!$C$6:$C$10,MATCH($F306,Cilësimet!$A$6:$A$10,0))*N($E306)+INDEX(Cilësimet!$D$6:$D$10,MATCH($F306,Cilësimet!$A$6:$A$10,0))))</f>
        <v/>
      </c>
      <c r="H306" s="22" t="str">
        <f aca="false">IF($Z306=1,$AA306-1,"")</f>
        <v/>
      </c>
      <c r="I306" s="23"/>
      <c r="J306" s="1"/>
      <c r="K306" s="1"/>
      <c r="L306" s="1"/>
      <c r="M306" s="1"/>
      <c r="N306" s="1"/>
      <c r="O306" s="1"/>
      <c r="P306" s="1"/>
      <c r="Q306" s="1"/>
      <c r="R306" s="1"/>
      <c r="S306" s="1"/>
      <c r="Z306" s="24" t="n">
        <f aca="false">IF($AB306="",0,IF(ISNUMBER($B306),IF(AND($B306&gt;=N($B$3),OR(NOT(ISNUMBER($D$3)),$B306&lt;=$D$3)),1,0),1))</f>
        <v>0</v>
      </c>
      <c r="AA306" s="24" t="n">
        <f aca="false">$AA305*(1+IF($Z306=1,N($G306),0))</f>
        <v>1.0035</v>
      </c>
      <c r="AB306" s="0" t="str">
        <f aca="false">IF($F306="","",IFERROR(INDEX(Cilësimet!$B$6:$B$10,MATCH($F306,Cilësimet!$A$6:$A$10,0)),""))</f>
        <v/>
      </c>
    </row>
    <row r="307" customFormat="false" ht="18.75" hidden="false" customHeight="true" outlineLevel="0" collapsed="false">
      <c r="A307" s="1"/>
      <c r="B307" s="17"/>
      <c r="C307" s="18"/>
      <c r="D307" s="18"/>
      <c r="E307" s="19"/>
      <c r="F307" s="20"/>
      <c r="G307" s="21" t="str">
        <f aca="false">IF($AB307="","",Cilësimet!$C$3*(INDEX(Cilësimet!$C$6:$C$10,MATCH($F307,Cilësimet!$A$6:$A$10,0))*N($E307)+INDEX(Cilësimet!$D$6:$D$10,MATCH($F307,Cilësimet!$A$6:$A$10,0))))</f>
        <v/>
      </c>
      <c r="H307" s="22" t="str">
        <f aca="false">IF($Z307=1,$AA307-1,"")</f>
        <v/>
      </c>
      <c r="I307" s="23"/>
      <c r="J307" s="1"/>
      <c r="K307" s="1"/>
      <c r="L307" s="1"/>
      <c r="M307" s="1"/>
      <c r="N307" s="1"/>
      <c r="O307" s="1"/>
      <c r="P307" s="1"/>
      <c r="Q307" s="1"/>
      <c r="R307" s="1"/>
      <c r="S307" s="1"/>
      <c r="Z307" s="24" t="n">
        <f aca="false">IF($AB307="",0,IF(ISNUMBER($B307),IF(AND($B307&gt;=N($B$3),OR(NOT(ISNUMBER($D$3)),$B307&lt;=$D$3)),1,0),1))</f>
        <v>0</v>
      </c>
      <c r="AA307" s="24" t="n">
        <f aca="false">$AA306*(1+IF($Z307=1,N($G307),0))</f>
        <v>1.0035</v>
      </c>
      <c r="AB307" s="0" t="str">
        <f aca="false">IF($F307="","",IFERROR(INDEX(Cilësimet!$B$6:$B$10,MATCH($F307,Cilësimet!$A$6:$A$10,0)),""))</f>
        <v/>
      </c>
    </row>
    <row r="308" customFormat="false" ht="18.75" hidden="false" customHeight="true" outlineLevel="0" collapsed="false">
      <c r="A308" s="1"/>
      <c r="B308" s="17"/>
      <c r="C308" s="18"/>
      <c r="D308" s="18"/>
      <c r="E308" s="19"/>
      <c r="F308" s="20"/>
      <c r="G308" s="21" t="str">
        <f aca="false">IF($AB308="","",Cilësimet!$C$3*(INDEX(Cilësimet!$C$6:$C$10,MATCH($F308,Cilësimet!$A$6:$A$10,0))*N($E308)+INDEX(Cilësimet!$D$6:$D$10,MATCH($F308,Cilësimet!$A$6:$A$10,0))))</f>
        <v/>
      </c>
      <c r="H308" s="22" t="str">
        <f aca="false">IF($Z308=1,$AA308-1,"")</f>
        <v/>
      </c>
      <c r="I308" s="23"/>
      <c r="J308" s="1"/>
      <c r="K308" s="1"/>
      <c r="L308" s="1"/>
      <c r="M308" s="1"/>
      <c r="N308" s="1"/>
      <c r="O308" s="1"/>
      <c r="P308" s="1"/>
      <c r="Q308" s="1"/>
      <c r="R308" s="1"/>
      <c r="S308" s="1"/>
      <c r="Z308" s="24" t="n">
        <f aca="false">IF($AB308="",0,IF(ISNUMBER($B308),IF(AND($B308&gt;=N($B$3),OR(NOT(ISNUMBER($D$3)),$B308&lt;=$D$3)),1,0),1))</f>
        <v>0</v>
      </c>
      <c r="AA308" s="24" t="n">
        <f aca="false">$AA307*(1+IF($Z308=1,N($G308),0))</f>
        <v>1.0035</v>
      </c>
      <c r="AB308" s="0" t="str">
        <f aca="false">IF($F308="","",IFERROR(INDEX(Cilësimet!$B$6:$B$10,MATCH($F308,Cilësimet!$A$6:$A$10,0)),""))</f>
        <v/>
      </c>
    </row>
    <row r="309" customFormat="false" ht="18.75" hidden="false" customHeight="true" outlineLevel="0" collapsed="false">
      <c r="A309" s="1"/>
      <c r="B309" s="17"/>
      <c r="C309" s="18"/>
      <c r="D309" s="18"/>
      <c r="E309" s="19"/>
      <c r="F309" s="20"/>
      <c r="G309" s="21" t="str">
        <f aca="false">IF($AB309="","",Cilësimet!$C$3*(INDEX(Cilësimet!$C$6:$C$10,MATCH($F309,Cilësimet!$A$6:$A$10,0))*N($E309)+INDEX(Cilësimet!$D$6:$D$10,MATCH($F309,Cilësimet!$A$6:$A$10,0))))</f>
        <v/>
      </c>
      <c r="H309" s="22" t="str">
        <f aca="false">IF($Z309=1,$AA309-1,"")</f>
        <v/>
      </c>
      <c r="I309" s="23"/>
      <c r="J309" s="1"/>
      <c r="K309" s="1"/>
      <c r="L309" s="1"/>
      <c r="M309" s="1"/>
      <c r="N309" s="1"/>
      <c r="O309" s="1"/>
      <c r="P309" s="1"/>
      <c r="Q309" s="1"/>
      <c r="R309" s="1"/>
      <c r="S309" s="1"/>
      <c r="Z309" s="24" t="n">
        <f aca="false">IF($AB309="",0,IF(ISNUMBER($B309),IF(AND($B309&gt;=N($B$3),OR(NOT(ISNUMBER($D$3)),$B309&lt;=$D$3)),1,0),1))</f>
        <v>0</v>
      </c>
      <c r="AA309" s="24" t="n">
        <f aca="false">$AA308*(1+IF($Z309=1,N($G309),0))</f>
        <v>1.0035</v>
      </c>
      <c r="AB309" s="0" t="str">
        <f aca="false">IF($F309="","",IFERROR(INDEX(Cilësimet!$B$6:$B$10,MATCH($F309,Cilësimet!$A$6:$A$10,0)),""))</f>
        <v/>
      </c>
    </row>
    <row r="310" customFormat="false" ht="18.75" hidden="false" customHeight="true" outlineLevel="0" collapsed="false">
      <c r="A310" s="1"/>
      <c r="B310" s="17"/>
      <c r="C310" s="18"/>
      <c r="D310" s="18"/>
      <c r="E310" s="19"/>
      <c r="F310" s="20"/>
      <c r="G310" s="21" t="str">
        <f aca="false">IF($AB310="","",Cilësimet!$C$3*(INDEX(Cilësimet!$C$6:$C$10,MATCH($F310,Cilësimet!$A$6:$A$10,0))*N($E310)+INDEX(Cilësimet!$D$6:$D$10,MATCH($F310,Cilësimet!$A$6:$A$10,0))))</f>
        <v/>
      </c>
      <c r="H310" s="22" t="str">
        <f aca="false">IF($Z310=1,$AA310-1,"")</f>
        <v/>
      </c>
      <c r="I310" s="23"/>
      <c r="J310" s="1"/>
      <c r="K310" s="1"/>
      <c r="L310" s="1"/>
      <c r="M310" s="1"/>
      <c r="N310" s="1"/>
      <c r="O310" s="1"/>
      <c r="P310" s="1"/>
      <c r="Q310" s="1"/>
      <c r="R310" s="1"/>
      <c r="S310" s="1"/>
      <c r="Z310" s="24" t="n">
        <f aca="false">IF($AB310="",0,IF(ISNUMBER($B310),IF(AND($B310&gt;=N($B$3),OR(NOT(ISNUMBER($D$3)),$B310&lt;=$D$3)),1,0),1))</f>
        <v>0</v>
      </c>
      <c r="AA310" s="24" t="n">
        <f aca="false">$AA309*(1+IF($Z310=1,N($G310),0))</f>
        <v>1.0035</v>
      </c>
      <c r="AB310" s="0" t="str">
        <f aca="false">IF($F310="","",IFERROR(INDEX(Cilësimet!$B$6:$B$10,MATCH($F310,Cilësimet!$A$6:$A$10,0)),""))</f>
        <v/>
      </c>
    </row>
    <row r="311" customFormat="false" ht="18.75" hidden="false" customHeight="true" outlineLevel="0" collapsed="false">
      <c r="A311" s="1"/>
      <c r="B311" s="17"/>
      <c r="C311" s="18"/>
      <c r="D311" s="18"/>
      <c r="E311" s="19"/>
      <c r="F311" s="20"/>
      <c r="G311" s="21" t="str">
        <f aca="false">IF($AB311="","",Cilësimet!$C$3*(INDEX(Cilësimet!$C$6:$C$10,MATCH($F311,Cilësimet!$A$6:$A$10,0))*N($E311)+INDEX(Cilësimet!$D$6:$D$10,MATCH($F311,Cilësimet!$A$6:$A$10,0))))</f>
        <v/>
      </c>
      <c r="H311" s="22" t="str">
        <f aca="false">IF($Z311=1,$AA311-1,"")</f>
        <v/>
      </c>
      <c r="I311" s="23"/>
      <c r="J311" s="1"/>
      <c r="K311" s="1"/>
      <c r="L311" s="1"/>
      <c r="M311" s="1"/>
      <c r="N311" s="1"/>
      <c r="O311" s="1"/>
      <c r="P311" s="1"/>
      <c r="Q311" s="1"/>
      <c r="R311" s="1"/>
      <c r="S311" s="1"/>
      <c r="Z311" s="24" t="n">
        <f aca="false">IF($AB311="",0,IF(ISNUMBER($B311),IF(AND($B311&gt;=N($B$3),OR(NOT(ISNUMBER($D$3)),$B311&lt;=$D$3)),1,0),1))</f>
        <v>0</v>
      </c>
      <c r="AA311" s="24" t="n">
        <f aca="false">$AA310*(1+IF($Z311=1,N($G311),0))</f>
        <v>1.0035</v>
      </c>
      <c r="AB311" s="0" t="str">
        <f aca="false">IF($F311="","",IFERROR(INDEX(Cilësimet!$B$6:$B$10,MATCH($F311,Cilësimet!$A$6:$A$10,0)),""))</f>
        <v/>
      </c>
    </row>
    <row r="312" customFormat="false" ht="18.75" hidden="false" customHeight="true" outlineLevel="0" collapsed="false">
      <c r="A312" s="1"/>
      <c r="B312" s="17"/>
      <c r="C312" s="18"/>
      <c r="D312" s="18"/>
      <c r="E312" s="19"/>
      <c r="F312" s="20"/>
      <c r="G312" s="21" t="str">
        <f aca="false">IF($AB312="","",Cilësimet!$C$3*(INDEX(Cilësimet!$C$6:$C$10,MATCH($F312,Cilësimet!$A$6:$A$10,0))*N($E312)+INDEX(Cilësimet!$D$6:$D$10,MATCH($F312,Cilësimet!$A$6:$A$10,0))))</f>
        <v/>
      </c>
      <c r="H312" s="22" t="str">
        <f aca="false">IF($Z312=1,$AA312-1,"")</f>
        <v/>
      </c>
      <c r="I312" s="23"/>
      <c r="J312" s="1"/>
      <c r="K312" s="1"/>
      <c r="L312" s="1"/>
      <c r="M312" s="1"/>
      <c r="N312" s="1"/>
      <c r="O312" s="1"/>
      <c r="P312" s="1"/>
      <c r="Q312" s="1"/>
      <c r="R312" s="1"/>
      <c r="S312" s="1"/>
      <c r="Z312" s="24" t="n">
        <f aca="false">IF($AB312="",0,IF(ISNUMBER($B312),IF(AND($B312&gt;=N($B$3),OR(NOT(ISNUMBER($D$3)),$B312&lt;=$D$3)),1,0),1))</f>
        <v>0</v>
      </c>
      <c r="AA312" s="24" t="n">
        <f aca="false">$AA311*(1+IF($Z312=1,N($G312),0))</f>
        <v>1.0035</v>
      </c>
      <c r="AB312" s="0" t="str">
        <f aca="false">IF($F312="","",IFERROR(INDEX(Cilësimet!$B$6:$B$10,MATCH($F312,Cilësimet!$A$6:$A$10,0)),""))</f>
        <v/>
      </c>
    </row>
    <row r="313" customFormat="false" ht="18.75" hidden="false" customHeight="true" outlineLevel="0" collapsed="false">
      <c r="A313" s="1"/>
      <c r="B313" s="17"/>
      <c r="C313" s="18"/>
      <c r="D313" s="18"/>
      <c r="E313" s="19"/>
      <c r="F313" s="20"/>
      <c r="G313" s="21" t="str">
        <f aca="false">IF($AB313="","",Cilësimet!$C$3*(INDEX(Cilësimet!$C$6:$C$10,MATCH($F313,Cilësimet!$A$6:$A$10,0))*N($E313)+INDEX(Cilësimet!$D$6:$D$10,MATCH($F313,Cilësimet!$A$6:$A$10,0))))</f>
        <v/>
      </c>
      <c r="H313" s="22" t="str">
        <f aca="false">IF($Z313=1,$AA313-1,"")</f>
        <v/>
      </c>
      <c r="I313" s="23"/>
      <c r="J313" s="1"/>
      <c r="K313" s="1"/>
      <c r="L313" s="1"/>
      <c r="M313" s="1"/>
      <c r="N313" s="1"/>
      <c r="O313" s="1"/>
      <c r="P313" s="1"/>
      <c r="Q313" s="1"/>
      <c r="R313" s="1"/>
      <c r="S313" s="1"/>
      <c r="Z313" s="24" t="n">
        <f aca="false">IF($AB313="",0,IF(ISNUMBER($B313),IF(AND($B313&gt;=N($B$3),OR(NOT(ISNUMBER($D$3)),$B313&lt;=$D$3)),1,0),1))</f>
        <v>0</v>
      </c>
      <c r="AA313" s="24" t="n">
        <f aca="false">$AA312*(1+IF($Z313=1,N($G313),0))</f>
        <v>1.0035</v>
      </c>
      <c r="AB313" s="0" t="str">
        <f aca="false">IF($F313="","",IFERROR(INDEX(Cilësimet!$B$6:$B$10,MATCH($F313,Cilësimet!$A$6:$A$10,0)),""))</f>
        <v/>
      </c>
    </row>
    <row r="314" customFormat="false" ht="18.75" hidden="false" customHeight="true" outlineLevel="0" collapsed="false">
      <c r="A314" s="1"/>
      <c r="B314" s="17"/>
      <c r="C314" s="18"/>
      <c r="D314" s="18"/>
      <c r="E314" s="19"/>
      <c r="F314" s="20"/>
      <c r="G314" s="21" t="str">
        <f aca="false">IF($AB314="","",Cilësimet!$C$3*(INDEX(Cilësimet!$C$6:$C$10,MATCH($F314,Cilësimet!$A$6:$A$10,0))*N($E314)+INDEX(Cilësimet!$D$6:$D$10,MATCH($F314,Cilësimet!$A$6:$A$10,0))))</f>
        <v/>
      </c>
      <c r="H314" s="22" t="str">
        <f aca="false">IF($Z314=1,$AA314-1,"")</f>
        <v/>
      </c>
      <c r="I314" s="23"/>
      <c r="J314" s="1"/>
      <c r="K314" s="1"/>
      <c r="L314" s="1"/>
      <c r="M314" s="1"/>
      <c r="N314" s="1"/>
      <c r="O314" s="1"/>
      <c r="P314" s="1"/>
      <c r="Q314" s="1"/>
      <c r="R314" s="1"/>
      <c r="S314" s="1"/>
      <c r="Z314" s="24" t="n">
        <f aca="false">IF($AB314="",0,IF(ISNUMBER($B314),IF(AND($B314&gt;=N($B$3),OR(NOT(ISNUMBER($D$3)),$B314&lt;=$D$3)),1,0),1))</f>
        <v>0</v>
      </c>
      <c r="AA314" s="24" t="n">
        <f aca="false">$AA313*(1+IF($Z314=1,N($G314),0))</f>
        <v>1.0035</v>
      </c>
      <c r="AB314" s="0" t="str">
        <f aca="false">IF($F314="","",IFERROR(INDEX(Cilësimet!$B$6:$B$10,MATCH($F314,Cilësimet!$A$6:$A$10,0)),""))</f>
        <v/>
      </c>
    </row>
    <row r="315" customFormat="false" ht="18.75" hidden="false" customHeight="true" outlineLevel="0" collapsed="false">
      <c r="A315" s="1"/>
      <c r="B315" s="17"/>
      <c r="C315" s="18"/>
      <c r="D315" s="18"/>
      <c r="E315" s="19"/>
      <c r="F315" s="20"/>
      <c r="G315" s="21" t="str">
        <f aca="false">IF($AB315="","",Cilësimet!$C$3*(INDEX(Cilësimet!$C$6:$C$10,MATCH($F315,Cilësimet!$A$6:$A$10,0))*N($E315)+INDEX(Cilësimet!$D$6:$D$10,MATCH($F315,Cilësimet!$A$6:$A$10,0))))</f>
        <v/>
      </c>
      <c r="H315" s="22" t="str">
        <f aca="false">IF($Z315=1,$AA315-1,"")</f>
        <v/>
      </c>
      <c r="I315" s="23"/>
      <c r="J315" s="1"/>
      <c r="K315" s="1"/>
      <c r="L315" s="1"/>
      <c r="M315" s="1"/>
      <c r="N315" s="1"/>
      <c r="O315" s="1"/>
      <c r="P315" s="1"/>
      <c r="Q315" s="1"/>
      <c r="R315" s="1"/>
      <c r="S315" s="1"/>
      <c r="Z315" s="24" t="n">
        <f aca="false">IF($AB315="",0,IF(ISNUMBER($B315),IF(AND($B315&gt;=N($B$3),OR(NOT(ISNUMBER($D$3)),$B315&lt;=$D$3)),1,0),1))</f>
        <v>0</v>
      </c>
      <c r="AA315" s="24" t="n">
        <f aca="false">$AA314*(1+IF($Z315=1,N($G315),0))</f>
        <v>1.0035</v>
      </c>
      <c r="AB315" s="0" t="str">
        <f aca="false">IF($F315="","",IFERROR(INDEX(Cilësimet!$B$6:$B$10,MATCH($F315,Cilësimet!$A$6:$A$10,0)),""))</f>
        <v/>
      </c>
    </row>
    <row r="316" customFormat="false" ht="18.75" hidden="false" customHeight="true" outlineLevel="0" collapsed="false">
      <c r="A316" s="1"/>
      <c r="B316" s="17"/>
      <c r="C316" s="18"/>
      <c r="D316" s="18"/>
      <c r="E316" s="19"/>
      <c r="F316" s="20"/>
      <c r="G316" s="21" t="str">
        <f aca="false">IF($AB316="","",Cilësimet!$C$3*(INDEX(Cilësimet!$C$6:$C$10,MATCH($F316,Cilësimet!$A$6:$A$10,0))*N($E316)+INDEX(Cilësimet!$D$6:$D$10,MATCH($F316,Cilësimet!$A$6:$A$10,0))))</f>
        <v/>
      </c>
      <c r="H316" s="22" t="str">
        <f aca="false">IF($Z316=1,$AA316-1,"")</f>
        <v/>
      </c>
      <c r="I316" s="23"/>
      <c r="J316" s="1"/>
      <c r="K316" s="1"/>
      <c r="L316" s="1"/>
      <c r="M316" s="1"/>
      <c r="N316" s="1"/>
      <c r="O316" s="1"/>
      <c r="P316" s="1"/>
      <c r="Q316" s="1"/>
      <c r="R316" s="1"/>
      <c r="S316" s="1"/>
      <c r="Z316" s="24" t="n">
        <f aca="false">IF($AB316="",0,IF(ISNUMBER($B316),IF(AND($B316&gt;=N($B$3),OR(NOT(ISNUMBER($D$3)),$B316&lt;=$D$3)),1,0),1))</f>
        <v>0</v>
      </c>
      <c r="AA316" s="24" t="n">
        <f aca="false">$AA315*(1+IF($Z316=1,N($G316),0))</f>
        <v>1.0035</v>
      </c>
      <c r="AB316" s="0" t="str">
        <f aca="false">IF($F316="","",IFERROR(INDEX(Cilësimet!$B$6:$B$10,MATCH($F316,Cilësimet!$A$6:$A$10,0)),""))</f>
        <v/>
      </c>
    </row>
    <row r="317" customFormat="false" ht="18.75" hidden="false" customHeight="true" outlineLevel="0" collapsed="false">
      <c r="A317" s="1"/>
      <c r="B317" s="17"/>
      <c r="C317" s="18"/>
      <c r="D317" s="18"/>
      <c r="E317" s="19"/>
      <c r="F317" s="20"/>
      <c r="G317" s="21" t="str">
        <f aca="false">IF($AB317="","",Cilësimet!$C$3*(INDEX(Cilësimet!$C$6:$C$10,MATCH($F317,Cilësimet!$A$6:$A$10,0))*N($E317)+INDEX(Cilësimet!$D$6:$D$10,MATCH($F317,Cilësimet!$A$6:$A$10,0))))</f>
        <v/>
      </c>
      <c r="H317" s="22" t="str">
        <f aca="false">IF($Z317=1,$AA317-1,"")</f>
        <v/>
      </c>
      <c r="I317" s="23"/>
      <c r="J317" s="1"/>
      <c r="K317" s="1"/>
      <c r="L317" s="1"/>
      <c r="M317" s="1"/>
      <c r="N317" s="1"/>
      <c r="O317" s="1"/>
      <c r="P317" s="1"/>
      <c r="Q317" s="1"/>
      <c r="R317" s="1"/>
      <c r="S317" s="1"/>
      <c r="Z317" s="24" t="n">
        <f aca="false">IF($AB317="",0,IF(ISNUMBER($B317),IF(AND($B317&gt;=N($B$3),OR(NOT(ISNUMBER($D$3)),$B317&lt;=$D$3)),1,0),1))</f>
        <v>0</v>
      </c>
      <c r="AA317" s="24" t="n">
        <f aca="false">$AA316*(1+IF($Z317=1,N($G317),0))</f>
        <v>1.0035</v>
      </c>
      <c r="AB317" s="0" t="str">
        <f aca="false">IF($F317="","",IFERROR(INDEX(Cilësimet!$B$6:$B$10,MATCH($F317,Cilësimet!$A$6:$A$10,0)),""))</f>
        <v/>
      </c>
    </row>
    <row r="318" customFormat="false" ht="18.75" hidden="false" customHeight="true" outlineLevel="0" collapsed="false">
      <c r="A318" s="1"/>
      <c r="B318" s="17"/>
      <c r="C318" s="18"/>
      <c r="D318" s="18"/>
      <c r="E318" s="19"/>
      <c r="F318" s="20"/>
      <c r="G318" s="21" t="str">
        <f aca="false">IF($AB318="","",Cilësimet!$C$3*(INDEX(Cilësimet!$C$6:$C$10,MATCH($F318,Cilësimet!$A$6:$A$10,0))*N($E318)+INDEX(Cilësimet!$D$6:$D$10,MATCH($F318,Cilësimet!$A$6:$A$10,0))))</f>
        <v/>
      </c>
      <c r="H318" s="22" t="str">
        <f aca="false">IF($Z318=1,$AA318-1,"")</f>
        <v/>
      </c>
      <c r="I318" s="23"/>
      <c r="J318" s="1"/>
      <c r="K318" s="1"/>
      <c r="L318" s="1"/>
      <c r="M318" s="1"/>
      <c r="N318" s="1"/>
      <c r="O318" s="1"/>
      <c r="P318" s="1"/>
      <c r="Q318" s="1"/>
      <c r="R318" s="1"/>
      <c r="S318" s="1"/>
      <c r="Z318" s="24" t="n">
        <f aca="false">IF($AB318="",0,IF(ISNUMBER($B318),IF(AND($B318&gt;=N($B$3),OR(NOT(ISNUMBER($D$3)),$B318&lt;=$D$3)),1,0),1))</f>
        <v>0</v>
      </c>
      <c r="AA318" s="24" t="n">
        <f aca="false">$AA317*(1+IF($Z318=1,N($G318),0))</f>
        <v>1.0035</v>
      </c>
      <c r="AB318" s="0" t="str">
        <f aca="false">IF($F318="","",IFERROR(INDEX(Cilësimet!$B$6:$B$10,MATCH($F318,Cilësimet!$A$6:$A$10,0)),""))</f>
        <v/>
      </c>
    </row>
    <row r="319" customFormat="false" ht="18.75" hidden="false" customHeight="true" outlineLevel="0" collapsed="false">
      <c r="A319" s="1"/>
      <c r="B319" s="17"/>
      <c r="C319" s="18"/>
      <c r="D319" s="18"/>
      <c r="E319" s="19"/>
      <c r="F319" s="20"/>
      <c r="G319" s="21" t="str">
        <f aca="false">IF($AB319="","",Cilësimet!$C$3*(INDEX(Cilësimet!$C$6:$C$10,MATCH($F319,Cilësimet!$A$6:$A$10,0))*N($E319)+INDEX(Cilësimet!$D$6:$D$10,MATCH($F319,Cilësimet!$A$6:$A$10,0))))</f>
        <v/>
      </c>
      <c r="H319" s="22" t="str">
        <f aca="false">IF($Z319=1,$AA319-1,"")</f>
        <v/>
      </c>
      <c r="I319" s="23"/>
      <c r="J319" s="1"/>
      <c r="K319" s="1"/>
      <c r="L319" s="1"/>
      <c r="M319" s="1"/>
      <c r="N319" s="1"/>
      <c r="O319" s="1"/>
      <c r="P319" s="1"/>
      <c r="Q319" s="1"/>
      <c r="R319" s="1"/>
      <c r="S319" s="1"/>
      <c r="Z319" s="24" t="n">
        <f aca="false">IF($AB319="",0,IF(ISNUMBER($B319),IF(AND($B319&gt;=N($B$3),OR(NOT(ISNUMBER($D$3)),$B319&lt;=$D$3)),1,0),1))</f>
        <v>0</v>
      </c>
      <c r="AA319" s="24" t="n">
        <f aca="false">$AA318*(1+IF($Z319=1,N($G319),0))</f>
        <v>1.0035</v>
      </c>
      <c r="AB319" s="0" t="str">
        <f aca="false">IF($F319="","",IFERROR(INDEX(Cilësimet!$B$6:$B$10,MATCH($F319,Cilësimet!$A$6:$A$10,0)),""))</f>
        <v/>
      </c>
    </row>
    <row r="320" customFormat="false" ht="18.75" hidden="false" customHeight="true" outlineLevel="0" collapsed="false">
      <c r="A320" s="1"/>
      <c r="B320" s="17"/>
      <c r="C320" s="18"/>
      <c r="D320" s="18"/>
      <c r="E320" s="19"/>
      <c r="F320" s="20"/>
      <c r="G320" s="21" t="str">
        <f aca="false">IF($AB320="","",Cilësimet!$C$3*(INDEX(Cilësimet!$C$6:$C$10,MATCH($F320,Cilësimet!$A$6:$A$10,0))*N($E320)+INDEX(Cilësimet!$D$6:$D$10,MATCH($F320,Cilësimet!$A$6:$A$10,0))))</f>
        <v/>
      </c>
      <c r="H320" s="22" t="str">
        <f aca="false">IF($Z320=1,$AA320-1,"")</f>
        <v/>
      </c>
      <c r="I320" s="23"/>
      <c r="J320" s="1"/>
      <c r="K320" s="1"/>
      <c r="L320" s="1"/>
      <c r="M320" s="1"/>
      <c r="N320" s="1"/>
      <c r="O320" s="1"/>
      <c r="P320" s="1"/>
      <c r="Q320" s="1"/>
      <c r="R320" s="1"/>
      <c r="S320" s="1"/>
      <c r="Z320" s="24" t="n">
        <f aca="false">IF($AB320="",0,IF(ISNUMBER($B320),IF(AND($B320&gt;=N($B$3),OR(NOT(ISNUMBER($D$3)),$B320&lt;=$D$3)),1,0),1))</f>
        <v>0</v>
      </c>
      <c r="AA320" s="24" t="n">
        <f aca="false">$AA319*(1+IF($Z320=1,N($G320),0))</f>
        <v>1.0035</v>
      </c>
      <c r="AB320" s="0" t="str">
        <f aca="false">IF($F320="","",IFERROR(INDEX(Cilësimet!$B$6:$B$10,MATCH($F320,Cilësimet!$A$6:$A$10,0)),""))</f>
        <v/>
      </c>
    </row>
    <row r="321" customFormat="false" ht="18.75" hidden="false" customHeight="true" outlineLevel="0" collapsed="false">
      <c r="A321" s="1"/>
      <c r="B321" s="17"/>
      <c r="C321" s="18"/>
      <c r="D321" s="18"/>
      <c r="E321" s="19"/>
      <c r="F321" s="20"/>
      <c r="G321" s="21" t="str">
        <f aca="false">IF($AB321="","",Cilësimet!$C$3*(INDEX(Cilësimet!$C$6:$C$10,MATCH($F321,Cilësimet!$A$6:$A$10,0))*N($E321)+INDEX(Cilësimet!$D$6:$D$10,MATCH($F321,Cilësimet!$A$6:$A$10,0))))</f>
        <v/>
      </c>
      <c r="H321" s="22" t="str">
        <f aca="false">IF($Z321=1,$AA321-1,"")</f>
        <v/>
      </c>
      <c r="I321" s="23"/>
      <c r="J321" s="1"/>
      <c r="K321" s="1"/>
      <c r="L321" s="1"/>
      <c r="M321" s="1"/>
      <c r="N321" s="1"/>
      <c r="O321" s="1"/>
      <c r="P321" s="1"/>
      <c r="Q321" s="1"/>
      <c r="R321" s="1"/>
      <c r="S321" s="1"/>
      <c r="Z321" s="24" t="n">
        <f aca="false">IF($AB321="",0,IF(ISNUMBER($B321),IF(AND($B321&gt;=N($B$3),OR(NOT(ISNUMBER($D$3)),$B321&lt;=$D$3)),1,0),1))</f>
        <v>0</v>
      </c>
      <c r="AA321" s="24" t="n">
        <f aca="false">$AA320*(1+IF($Z321=1,N($G321),0))</f>
        <v>1.0035</v>
      </c>
      <c r="AB321" s="0" t="str">
        <f aca="false">IF($F321="","",IFERROR(INDEX(Cilësimet!$B$6:$B$10,MATCH($F321,Cilësimet!$A$6:$A$10,0)),""))</f>
        <v/>
      </c>
    </row>
    <row r="322" customFormat="false" ht="18.75" hidden="false" customHeight="true" outlineLevel="0" collapsed="false">
      <c r="A322" s="1"/>
      <c r="B322" s="17"/>
      <c r="C322" s="18"/>
      <c r="D322" s="18"/>
      <c r="E322" s="19"/>
      <c r="F322" s="20"/>
      <c r="G322" s="21" t="str">
        <f aca="false">IF($AB322="","",Cilësimet!$C$3*(INDEX(Cilësimet!$C$6:$C$10,MATCH($F322,Cilësimet!$A$6:$A$10,0))*N($E322)+INDEX(Cilësimet!$D$6:$D$10,MATCH($F322,Cilësimet!$A$6:$A$10,0))))</f>
        <v/>
      </c>
      <c r="H322" s="22" t="str">
        <f aca="false">IF($Z322=1,$AA322-1,"")</f>
        <v/>
      </c>
      <c r="I322" s="23"/>
      <c r="J322" s="1"/>
      <c r="K322" s="1"/>
      <c r="L322" s="1"/>
      <c r="M322" s="1"/>
      <c r="N322" s="1"/>
      <c r="O322" s="1"/>
      <c r="P322" s="1"/>
      <c r="Q322" s="1"/>
      <c r="R322" s="1"/>
      <c r="S322" s="1"/>
      <c r="Z322" s="24" t="n">
        <f aca="false">IF($AB322="",0,IF(ISNUMBER($B322),IF(AND($B322&gt;=N($B$3),OR(NOT(ISNUMBER($D$3)),$B322&lt;=$D$3)),1,0),1))</f>
        <v>0</v>
      </c>
      <c r="AA322" s="24" t="n">
        <f aca="false">$AA321*(1+IF($Z322=1,N($G322),0))</f>
        <v>1.0035</v>
      </c>
      <c r="AB322" s="0" t="str">
        <f aca="false">IF($F322="","",IFERROR(INDEX(Cilësimet!$B$6:$B$10,MATCH($F322,Cilësimet!$A$6:$A$10,0)),""))</f>
        <v/>
      </c>
    </row>
    <row r="323" customFormat="false" ht="18.75" hidden="false" customHeight="true" outlineLevel="0" collapsed="false">
      <c r="A323" s="1"/>
      <c r="B323" s="17"/>
      <c r="C323" s="18"/>
      <c r="D323" s="18"/>
      <c r="E323" s="19"/>
      <c r="F323" s="20"/>
      <c r="G323" s="21" t="str">
        <f aca="false">IF($AB323="","",Cilësimet!$C$3*(INDEX(Cilësimet!$C$6:$C$10,MATCH($F323,Cilësimet!$A$6:$A$10,0))*N($E323)+INDEX(Cilësimet!$D$6:$D$10,MATCH($F323,Cilësimet!$A$6:$A$10,0))))</f>
        <v/>
      </c>
      <c r="H323" s="22" t="str">
        <f aca="false">IF($Z323=1,$AA323-1,"")</f>
        <v/>
      </c>
      <c r="I323" s="23"/>
      <c r="J323" s="1"/>
      <c r="K323" s="1"/>
      <c r="L323" s="1"/>
      <c r="M323" s="1"/>
      <c r="N323" s="1"/>
      <c r="O323" s="1"/>
      <c r="P323" s="1"/>
      <c r="Q323" s="1"/>
      <c r="R323" s="1"/>
      <c r="S323" s="1"/>
      <c r="Z323" s="24" t="n">
        <f aca="false">IF($AB323="",0,IF(ISNUMBER($B323),IF(AND($B323&gt;=N($B$3),OR(NOT(ISNUMBER($D$3)),$B323&lt;=$D$3)),1,0),1))</f>
        <v>0</v>
      </c>
      <c r="AA323" s="24" t="n">
        <f aca="false">$AA322*(1+IF($Z323=1,N($G323),0))</f>
        <v>1.0035</v>
      </c>
      <c r="AB323" s="0" t="str">
        <f aca="false">IF($F323="","",IFERROR(INDEX(Cilësimet!$B$6:$B$10,MATCH($F323,Cilësimet!$A$6:$A$10,0)),""))</f>
        <v/>
      </c>
    </row>
    <row r="324" customFormat="false" ht="18.75" hidden="false" customHeight="true" outlineLevel="0" collapsed="false">
      <c r="A324" s="1"/>
      <c r="B324" s="17"/>
      <c r="C324" s="18"/>
      <c r="D324" s="18"/>
      <c r="E324" s="19"/>
      <c r="F324" s="20"/>
      <c r="G324" s="21" t="str">
        <f aca="false">IF($AB324="","",Cilësimet!$C$3*(INDEX(Cilësimet!$C$6:$C$10,MATCH($F324,Cilësimet!$A$6:$A$10,0))*N($E324)+INDEX(Cilësimet!$D$6:$D$10,MATCH($F324,Cilësimet!$A$6:$A$10,0))))</f>
        <v/>
      </c>
      <c r="H324" s="22" t="str">
        <f aca="false">IF($Z324=1,$AA324-1,"")</f>
        <v/>
      </c>
      <c r="I324" s="23"/>
      <c r="J324" s="1"/>
      <c r="K324" s="1"/>
      <c r="L324" s="1"/>
      <c r="M324" s="1"/>
      <c r="N324" s="1"/>
      <c r="O324" s="1"/>
      <c r="P324" s="1"/>
      <c r="Q324" s="1"/>
      <c r="R324" s="1"/>
      <c r="S324" s="1"/>
      <c r="Z324" s="24" t="n">
        <f aca="false">IF($AB324="",0,IF(ISNUMBER($B324),IF(AND($B324&gt;=N($B$3),OR(NOT(ISNUMBER($D$3)),$B324&lt;=$D$3)),1,0),1))</f>
        <v>0</v>
      </c>
      <c r="AA324" s="24" t="n">
        <f aca="false">$AA323*(1+IF($Z324=1,N($G324),0))</f>
        <v>1.0035</v>
      </c>
      <c r="AB324" s="0" t="str">
        <f aca="false">IF($F324="","",IFERROR(INDEX(Cilësimet!$B$6:$B$10,MATCH($F324,Cilësimet!$A$6:$A$10,0)),""))</f>
        <v/>
      </c>
    </row>
    <row r="325" customFormat="false" ht="18.75" hidden="false" customHeight="true" outlineLevel="0" collapsed="false">
      <c r="A325" s="1"/>
      <c r="B325" s="17"/>
      <c r="C325" s="18"/>
      <c r="D325" s="18"/>
      <c r="E325" s="19"/>
      <c r="F325" s="20"/>
      <c r="G325" s="21" t="str">
        <f aca="false">IF($AB325="","",Cilësimet!$C$3*(INDEX(Cilësimet!$C$6:$C$10,MATCH($F325,Cilësimet!$A$6:$A$10,0))*N($E325)+INDEX(Cilësimet!$D$6:$D$10,MATCH($F325,Cilësimet!$A$6:$A$10,0))))</f>
        <v/>
      </c>
      <c r="H325" s="22" t="str">
        <f aca="false">IF($Z325=1,$AA325-1,"")</f>
        <v/>
      </c>
      <c r="I325" s="23"/>
      <c r="J325" s="1"/>
      <c r="K325" s="1"/>
      <c r="L325" s="1"/>
      <c r="M325" s="1"/>
      <c r="N325" s="1"/>
      <c r="O325" s="1"/>
      <c r="P325" s="1"/>
      <c r="Q325" s="1"/>
      <c r="R325" s="1"/>
      <c r="S325" s="1"/>
      <c r="Z325" s="24" t="n">
        <f aca="false">IF($AB325="",0,IF(ISNUMBER($B325),IF(AND($B325&gt;=N($B$3),OR(NOT(ISNUMBER($D$3)),$B325&lt;=$D$3)),1,0),1))</f>
        <v>0</v>
      </c>
      <c r="AA325" s="24" t="n">
        <f aca="false">$AA324*(1+IF($Z325=1,N($G325),0))</f>
        <v>1.0035</v>
      </c>
      <c r="AB325" s="0" t="str">
        <f aca="false">IF($F325="","",IFERROR(INDEX(Cilësimet!$B$6:$B$10,MATCH($F325,Cilësimet!$A$6:$A$10,0)),""))</f>
        <v/>
      </c>
    </row>
    <row r="326" customFormat="false" ht="18.75" hidden="false" customHeight="true" outlineLevel="0" collapsed="false">
      <c r="A326" s="1"/>
      <c r="B326" s="17"/>
      <c r="C326" s="18"/>
      <c r="D326" s="18"/>
      <c r="E326" s="19"/>
      <c r="F326" s="20"/>
      <c r="G326" s="21" t="str">
        <f aca="false">IF($AB326="","",Cilësimet!$C$3*(INDEX(Cilësimet!$C$6:$C$10,MATCH($F326,Cilësimet!$A$6:$A$10,0))*N($E326)+INDEX(Cilësimet!$D$6:$D$10,MATCH($F326,Cilësimet!$A$6:$A$10,0))))</f>
        <v/>
      </c>
      <c r="H326" s="22" t="str">
        <f aca="false">IF($Z326=1,$AA326-1,"")</f>
        <v/>
      </c>
      <c r="I326" s="23"/>
      <c r="J326" s="1"/>
      <c r="K326" s="1"/>
      <c r="L326" s="1"/>
      <c r="M326" s="1"/>
      <c r="N326" s="1"/>
      <c r="O326" s="1"/>
      <c r="P326" s="1"/>
      <c r="Q326" s="1"/>
      <c r="R326" s="1"/>
      <c r="S326" s="1"/>
      <c r="Z326" s="24" t="n">
        <f aca="false">IF($AB326="",0,IF(ISNUMBER($B326),IF(AND($B326&gt;=N($B$3),OR(NOT(ISNUMBER($D$3)),$B326&lt;=$D$3)),1,0),1))</f>
        <v>0</v>
      </c>
      <c r="AA326" s="24" t="n">
        <f aca="false">$AA325*(1+IF($Z326=1,N($G326),0))</f>
        <v>1.0035</v>
      </c>
      <c r="AB326" s="0" t="str">
        <f aca="false">IF($F326="","",IFERROR(INDEX(Cilësimet!$B$6:$B$10,MATCH($F326,Cilësimet!$A$6:$A$10,0)),""))</f>
        <v/>
      </c>
    </row>
    <row r="327" customFormat="false" ht="18.75" hidden="false" customHeight="true" outlineLevel="0" collapsed="false">
      <c r="A327" s="1"/>
      <c r="B327" s="17"/>
      <c r="C327" s="18"/>
      <c r="D327" s="18"/>
      <c r="E327" s="19"/>
      <c r="F327" s="20"/>
      <c r="G327" s="21" t="str">
        <f aca="false">IF($AB327="","",Cilësimet!$C$3*(INDEX(Cilësimet!$C$6:$C$10,MATCH($F327,Cilësimet!$A$6:$A$10,0))*N($E327)+INDEX(Cilësimet!$D$6:$D$10,MATCH($F327,Cilësimet!$A$6:$A$10,0))))</f>
        <v/>
      </c>
      <c r="H327" s="22" t="str">
        <f aca="false">IF($Z327=1,$AA327-1,"")</f>
        <v/>
      </c>
      <c r="I327" s="23"/>
      <c r="J327" s="1"/>
      <c r="K327" s="1"/>
      <c r="L327" s="1"/>
      <c r="M327" s="1"/>
      <c r="N327" s="1"/>
      <c r="O327" s="1"/>
      <c r="P327" s="1"/>
      <c r="Q327" s="1"/>
      <c r="R327" s="1"/>
      <c r="S327" s="1"/>
      <c r="Z327" s="24" t="n">
        <f aca="false">IF($AB327="",0,IF(ISNUMBER($B327),IF(AND($B327&gt;=N($B$3),OR(NOT(ISNUMBER($D$3)),$B327&lt;=$D$3)),1,0),1))</f>
        <v>0</v>
      </c>
      <c r="AA327" s="24" t="n">
        <f aca="false">$AA326*(1+IF($Z327=1,N($G327),0))</f>
        <v>1.0035</v>
      </c>
      <c r="AB327" s="0" t="str">
        <f aca="false">IF($F327="","",IFERROR(INDEX(Cilësimet!$B$6:$B$10,MATCH($F327,Cilësimet!$A$6:$A$10,0)),""))</f>
        <v/>
      </c>
    </row>
    <row r="328" customFormat="false" ht="18.75" hidden="false" customHeight="true" outlineLevel="0" collapsed="false">
      <c r="A328" s="1"/>
      <c r="B328" s="17"/>
      <c r="C328" s="18"/>
      <c r="D328" s="18"/>
      <c r="E328" s="19"/>
      <c r="F328" s="20"/>
      <c r="G328" s="21" t="str">
        <f aca="false">IF($AB328="","",Cilësimet!$C$3*(INDEX(Cilësimet!$C$6:$C$10,MATCH($F328,Cilësimet!$A$6:$A$10,0))*N($E328)+INDEX(Cilësimet!$D$6:$D$10,MATCH($F328,Cilësimet!$A$6:$A$10,0))))</f>
        <v/>
      </c>
      <c r="H328" s="22" t="str">
        <f aca="false">IF($Z328=1,$AA328-1,"")</f>
        <v/>
      </c>
      <c r="I328" s="23"/>
      <c r="J328" s="1"/>
      <c r="K328" s="1"/>
      <c r="L328" s="1"/>
      <c r="M328" s="1"/>
      <c r="N328" s="1"/>
      <c r="O328" s="1"/>
      <c r="P328" s="1"/>
      <c r="Q328" s="1"/>
      <c r="R328" s="1"/>
      <c r="S328" s="1"/>
      <c r="Z328" s="24" t="n">
        <f aca="false">IF($AB328="",0,IF(ISNUMBER($B328),IF(AND($B328&gt;=N($B$3),OR(NOT(ISNUMBER($D$3)),$B328&lt;=$D$3)),1,0),1))</f>
        <v>0</v>
      </c>
      <c r="AA328" s="24" t="n">
        <f aca="false">$AA327*(1+IF($Z328=1,N($G328),0))</f>
        <v>1.0035</v>
      </c>
      <c r="AB328" s="0" t="str">
        <f aca="false">IF($F328="","",IFERROR(INDEX(Cilësimet!$B$6:$B$10,MATCH($F328,Cilësimet!$A$6:$A$10,0)),""))</f>
        <v/>
      </c>
    </row>
    <row r="329" customFormat="false" ht="18.75" hidden="false" customHeight="true" outlineLevel="0" collapsed="false">
      <c r="A329" s="1"/>
      <c r="B329" s="17"/>
      <c r="C329" s="18"/>
      <c r="D329" s="18"/>
      <c r="E329" s="19"/>
      <c r="F329" s="20"/>
      <c r="G329" s="21" t="str">
        <f aca="false">IF($AB329="","",Cilësimet!$C$3*(INDEX(Cilësimet!$C$6:$C$10,MATCH($F329,Cilësimet!$A$6:$A$10,0))*N($E329)+INDEX(Cilësimet!$D$6:$D$10,MATCH($F329,Cilësimet!$A$6:$A$10,0))))</f>
        <v/>
      </c>
      <c r="H329" s="22" t="str">
        <f aca="false">IF($Z329=1,$AA329-1,"")</f>
        <v/>
      </c>
      <c r="I329" s="23"/>
      <c r="J329" s="1"/>
      <c r="K329" s="1"/>
      <c r="L329" s="1"/>
      <c r="M329" s="1"/>
      <c r="N329" s="1"/>
      <c r="O329" s="1"/>
      <c r="P329" s="1"/>
      <c r="Q329" s="1"/>
      <c r="R329" s="1"/>
      <c r="S329" s="1"/>
      <c r="Z329" s="24" t="n">
        <f aca="false">IF($AB329="",0,IF(ISNUMBER($B329),IF(AND($B329&gt;=N($B$3),OR(NOT(ISNUMBER($D$3)),$B329&lt;=$D$3)),1,0),1))</f>
        <v>0</v>
      </c>
      <c r="AA329" s="24" t="n">
        <f aca="false">$AA328*(1+IF($Z329=1,N($G329),0))</f>
        <v>1.0035</v>
      </c>
      <c r="AB329" s="0" t="str">
        <f aca="false">IF($F329="","",IFERROR(INDEX(Cilësimet!$B$6:$B$10,MATCH($F329,Cilësimet!$A$6:$A$10,0)),""))</f>
        <v/>
      </c>
    </row>
    <row r="330" customFormat="false" ht="18.75" hidden="false" customHeight="true" outlineLevel="0" collapsed="false">
      <c r="A330" s="1"/>
      <c r="B330" s="17"/>
      <c r="C330" s="18"/>
      <c r="D330" s="18"/>
      <c r="E330" s="19"/>
      <c r="F330" s="20"/>
      <c r="G330" s="21" t="str">
        <f aca="false">IF($AB330="","",Cilësimet!$C$3*(INDEX(Cilësimet!$C$6:$C$10,MATCH($F330,Cilësimet!$A$6:$A$10,0))*N($E330)+INDEX(Cilësimet!$D$6:$D$10,MATCH($F330,Cilësimet!$A$6:$A$10,0))))</f>
        <v/>
      </c>
      <c r="H330" s="22" t="str">
        <f aca="false">IF($Z330=1,$AA330-1,"")</f>
        <v/>
      </c>
      <c r="I330" s="23"/>
      <c r="J330" s="1"/>
      <c r="K330" s="1"/>
      <c r="L330" s="1"/>
      <c r="M330" s="1"/>
      <c r="N330" s="1"/>
      <c r="O330" s="1"/>
      <c r="P330" s="1"/>
      <c r="Q330" s="1"/>
      <c r="R330" s="1"/>
      <c r="S330" s="1"/>
      <c r="Z330" s="24" t="n">
        <f aca="false">IF($AB330="",0,IF(ISNUMBER($B330),IF(AND($B330&gt;=N($B$3),OR(NOT(ISNUMBER($D$3)),$B330&lt;=$D$3)),1,0),1))</f>
        <v>0</v>
      </c>
      <c r="AA330" s="24" t="n">
        <f aca="false">$AA329*(1+IF($Z330=1,N($G330),0))</f>
        <v>1.0035</v>
      </c>
      <c r="AB330" s="0" t="str">
        <f aca="false">IF($F330="","",IFERROR(INDEX(Cilësimet!$B$6:$B$10,MATCH($F330,Cilësimet!$A$6:$A$10,0)),""))</f>
        <v/>
      </c>
    </row>
    <row r="331" customFormat="false" ht="18.75" hidden="false" customHeight="true" outlineLevel="0" collapsed="false">
      <c r="A331" s="1"/>
      <c r="B331" s="17"/>
      <c r="C331" s="18"/>
      <c r="D331" s="18"/>
      <c r="E331" s="19"/>
      <c r="F331" s="20"/>
      <c r="G331" s="21" t="str">
        <f aca="false">IF($AB331="","",Cilësimet!$C$3*(INDEX(Cilësimet!$C$6:$C$10,MATCH($F331,Cilësimet!$A$6:$A$10,0))*N($E331)+INDEX(Cilësimet!$D$6:$D$10,MATCH($F331,Cilësimet!$A$6:$A$10,0))))</f>
        <v/>
      </c>
      <c r="H331" s="22" t="str">
        <f aca="false">IF($Z331=1,$AA331-1,"")</f>
        <v/>
      </c>
      <c r="I331" s="23"/>
      <c r="J331" s="1"/>
      <c r="K331" s="1"/>
      <c r="L331" s="1"/>
      <c r="M331" s="1"/>
      <c r="N331" s="1"/>
      <c r="O331" s="1"/>
      <c r="P331" s="1"/>
      <c r="Q331" s="1"/>
      <c r="R331" s="1"/>
      <c r="S331" s="1"/>
      <c r="Z331" s="24" t="n">
        <f aca="false">IF($AB331="",0,IF(ISNUMBER($B331),IF(AND($B331&gt;=N($B$3),OR(NOT(ISNUMBER($D$3)),$B331&lt;=$D$3)),1,0),1))</f>
        <v>0</v>
      </c>
      <c r="AA331" s="24" t="n">
        <f aca="false">$AA330*(1+IF($Z331=1,N($G331),0))</f>
        <v>1.0035</v>
      </c>
      <c r="AB331" s="0" t="str">
        <f aca="false">IF($F331="","",IFERROR(INDEX(Cilësimet!$B$6:$B$10,MATCH($F331,Cilësimet!$A$6:$A$10,0)),""))</f>
        <v/>
      </c>
    </row>
    <row r="332" customFormat="false" ht="18.75" hidden="false" customHeight="true" outlineLevel="0" collapsed="false">
      <c r="A332" s="1"/>
      <c r="B332" s="17"/>
      <c r="C332" s="18"/>
      <c r="D332" s="18"/>
      <c r="E332" s="19"/>
      <c r="F332" s="20"/>
      <c r="G332" s="21" t="str">
        <f aca="false">IF($AB332="","",Cilësimet!$C$3*(INDEX(Cilësimet!$C$6:$C$10,MATCH($F332,Cilësimet!$A$6:$A$10,0))*N($E332)+INDEX(Cilësimet!$D$6:$D$10,MATCH($F332,Cilësimet!$A$6:$A$10,0))))</f>
        <v/>
      </c>
      <c r="H332" s="22" t="str">
        <f aca="false">IF($Z332=1,$AA332-1,"")</f>
        <v/>
      </c>
      <c r="I332" s="23"/>
      <c r="J332" s="1"/>
      <c r="K332" s="1"/>
      <c r="L332" s="1"/>
      <c r="M332" s="1"/>
      <c r="N332" s="1"/>
      <c r="O332" s="1"/>
      <c r="P332" s="1"/>
      <c r="Q332" s="1"/>
      <c r="R332" s="1"/>
      <c r="S332" s="1"/>
      <c r="Z332" s="24" t="n">
        <f aca="false">IF($AB332="",0,IF(ISNUMBER($B332),IF(AND($B332&gt;=N($B$3),OR(NOT(ISNUMBER($D$3)),$B332&lt;=$D$3)),1,0),1))</f>
        <v>0</v>
      </c>
      <c r="AA332" s="24" t="n">
        <f aca="false">$AA331*(1+IF($Z332=1,N($G332),0))</f>
        <v>1.0035</v>
      </c>
      <c r="AB332" s="0" t="str">
        <f aca="false">IF($F332="","",IFERROR(INDEX(Cilësimet!$B$6:$B$10,MATCH($F332,Cilësimet!$A$6:$A$10,0)),""))</f>
        <v/>
      </c>
    </row>
    <row r="333" customFormat="false" ht="18.75" hidden="false" customHeight="true" outlineLevel="0" collapsed="false">
      <c r="A333" s="1"/>
      <c r="B333" s="17"/>
      <c r="C333" s="18"/>
      <c r="D333" s="18"/>
      <c r="E333" s="19"/>
      <c r="F333" s="20"/>
      <c r="G333" s="21" t="str">
        <f aca="false">IF($AB333="","",Cilësimet!$C$3*(INDEX(Cilësimet!$C$6:$C$10,MATCH($F333,Cilësimet!$A$6:$A$10,0))*N($E333)+INDEX(Cilësimet!$D$6:$D$10,MATCH($F333,Cilësimet!$A$6:$A$10,0))))</f>
        <v/>
      </c>
      <c r="H333" s="22" t="str">
        <f aca="false">IF($Z333=1,$AA333-1,"")</f>
        <v/>
      </c>
      <c r="I333" s="23"/>
      <c r="J333" s="1"/>
      <c r="K333" s="1"/>
      <c r="L333" s="1"/>
      <c r="M333" s="1"/>
      <c r="N333" s="1"/>
      <c r="O333" s="1"/>
      <c r="P333" s="1"/>
      <c r="Q333" s="1"/>
      <c r="R333" s="1"/>
      <c r="S333" s="1"/>
      <c r="Z333" s="24" t="n">
        <f aca="false">IF($AB333="",0,IF(ISNUMBER($B333),IF(AND($B333&gt;=N($B$3),OR(NOT(ISNUMBER($D$3)),$B333&lt;=$D$3)),1,0),1))</f>
        <v>0</v>
      </c>
      <c r="AA333" s="24" t="n">
        <f aca="false">$AA332*(1+IF($Z333=1,N($G333),0))</f>
        <v>1.0035</v>
      </c>
      <c r="AB333" s="0" t="str">
        <f aca="false">IF($F333="","",IFERROR(INDEX(Cilësimet!$B$6:$B$10,MATCH($F333,Cilësimet!$A$6:$A$10,0)),""))</f>
        <v/>
      </c>
    </row>
    <row r="334" customFormat="false" ht="18.75" hidden="false" customHeight="true" outlineLevel="0" collapsed="false">
      <c r="A334" s="1"/>
      <c r="B334" s="17"/>
      <c r="C334" s="18"/>
      <c r="D334" s="18"/>
      <c r="E334" s="19"/>
      <c r="F334" s="20"/>
      <c r="G334" s="21" t="str">
        <f aca="false">IF($AB334="","",Cilësimet!$C$3*(INDEX(Cilësimet!$C$6:$C$10,MATCH($F334,Cilësimet!$A$6:$A$10,0))*N($E334)+INDEX(Cilësimet!$D$6:$D$10,MATCH($F334,Cilësimet!$A$6:$A$10,0))))</f>
        <v/>
      </c>
      <c r="H334" s="22" t="str">
        <f aca="false">IF($Z334=1,$AA334-1,"")</f>
        <v/>
      </c>
      <c r="I334" s="23"/>
      <c r="J334" s="1"/>
      <c r="K334" s="1"/>
      <c r="L334" s="1"/>
      <c r="M334" s="1"/>
      <c r="N334" s="1"/>
      <c r="O334" s="1"/>
      <c r="P334" s="1"/>
      <c r="Q334" s="1"/>
      <c r="R334" s="1"/>
      <c r="S334" s="1"/>
      <c r="Z334" s="24" t="n">
        <f aca="false">IF($AB334="",0,IF(ISNUMBER($B334),IF(AND($B334&gt;=N($B$3),OR(NOT(ISNUMBER($D$3)),$B334&lt;=$D$3)),1,0),1))</f>
        <v>0</v>
      </c>
      <c r="AA334" s="24" t="n">
        <f aca="false">$AA333*(1+IF($Z334=1,N($G334),0))</f>
        <v>1.0035</v>
      </c>
      <c r="AB334" s="0" t="str">
        <f aca="false">IF($F334="","",IFERROR(INDEX(Cilësimet!$B$6:$B$10,MATCH($F334,Cilësimet!$A$6:$A$10,0)),""))</f>
        <v/>
      </c>
    </row>
    <row r="335" customFormat="false" ht="18.75" hidden="false" customHeight="true" outlineLevel="0" collapsed="false">
      <c r="A335" s="1"/>
      <c r="B335" s="17"/>
      <c r="C335" s="18"/>
      <c r="D335" s="18"/>
      <c r="E335" s="19"/>
      <c r="F335" s="20"/>
      <c r="G335" s="21" t="str">
        <f aca="false">IF($AB335="","",Cilësimet!$C$3*(INDEX(Cilësimet!$C$6:$C$10,MATCH($F335,Cilësimet!$A$6:$A$10,0))*N($E335)+INDEX(Cilësimet!$D$6:$D$10,MATCH($F335,Cilësimet!$A$6:$A$10,0))))</f>
        <v/>
      </c>
      <c r="H335" s="22" t="str">
        <f aca="false">IF($Z335=1,$AA335-1,"")</f>
        <v/>
      </c>
      <c r="I335" s="23"/>
      <c r="J335" s="1"/>
      <c r="K335" s="1"/>
      <c r="L335" s="1"/>
      <c r="M335" s="1"/>
      <c r="N335" s="1"/>
      <c r="O335" s="1"/>
      <c r="P335" s="1"/>
      <c r="Q335" s="1"/>
      <c r="R335" s="1"/>
      <c r="S335" s="1"/>
      <c r="Z335" s="24" t="n">
        <f aca="false">IF($AB335="",0,IF(ISNUMBER($B335),IF(AND($B335&gt;=N($B$3),OR(NOT(ISNUMBER($D$3)),$B335&lt;=$D$3)),1,0),1))</f>
        <v>0</v>
      </c>
      <c r="AA335" s="24" t="n">
        <f aca="false">$AA334*(1+IF($Z335=1,N($G335),0))</f>
        <v>1.0035</v>
      </c>
      <c r="AB335" s="0" t="str">
        <f aca="false">IF($F335="","",IFERROR(INDEX(Cilësimet!$B$6:$B$10,MATCH($F335,Cilësimet!$A$6:$A$10,0)),""))</f>
        <v/>
      </c>
    </row>
    <row r="336" customFormat="false" ht="18.75" hidden="false" customHeight="true" outlineLevel="0" collapsed="false">
      <c r="A336" s="1"/>
      <c r="B336" s="17"/>
      <c r="C336" s="18"/>
      <c r="D336" s="18"/>
      <c r="E336" s="19"/>
      <c r="F336" s="20"/>
      <c r="G336" s="21" t="str">
        <f aca="false">IF($AB336="","",Cilësimet!$C$3*(INDEX(Cilësimet!$C$6:$C$10,MATCH($F336,Cilësimet!$A$6:$A$10,0))*N($E336)+INDEX(Cilësimet!$D$6:$D$10,MATCH($F336,Cilësimet!$A$6:$A$10,0))))</f>
        <v/>
      </c>
      <c r="H336" s="22" t="str">
        <f aca="false">IF($Z336=1,$AA336-1,"")</f>
        <v/>
      </c>
      <c r="I336" s="23"/>
      <c r="J336" s="1"/>
      <c r="K336" s="1"/>
      <c r="L336" s="1"/>
      <c r="M336" s="1"/>
      <c r="N336" s="1"/>
      <c r="O336" s="1"/>
      <c r="P336" s="1"/>
      <c r="Q336" s="1"/>
      <c r="R336" s="1"/>
      <c r="S336" s="1"/>
      <c r="Z336" s="24" t="n">
        <f aca="false">IF($AB336="",0,IF(ISNUMBER($B336),IF(AND($B336&gt;=N($B$3),OR(NOT(ISNUMBER($D$3)),$B336&lt;=$D$3)),1,0),1))</f>
        <v>0</v>
      </c>
      <c r="AA336" s="24" t="n">
        <f aca="false">$AA335*(1+IF($Z336=1,N($G336),0))</f>
        <v>1.0035</v>
      </c>
      <c r="AB336" s="0" t="str">
        <f aca="false">IF($F336="","",IFERROR(INDEX(Cilësimet!$B$6:$B$10,MATCH($F336,Cilësimet!$A$6:$A$10,0)),""))</f>
        <v/>
      </c>
    </row>
    <row r="337" customFormat="false" ht="18.75" hidden="false" customHeight="true" outlineLevel="0" collapsed="false">
      <c r="A337" s="1"/>
      <c r="B337" s="17"/>
      <c r="C337" s="18"/>
      <c r="D337" s="18"/>
      <c r="E337" s="19"/>
      <c r="F337" s="20"/>
      <c r="G337" s="21" t="str">
        <f aca="false">IF($AB337="","",Cilësimet!$C$3*(INDEX(Cilësimet!$C$6:$C$10,MATCH($F337,Cilësimet!$A$6:$A$10,0))*N($E337)+INDEX(Cilësimet!$D$6:$D$10,MATCH($F337,Cilësimet!$A$6:$A$10,0))))</f>
        <v/>
      </c>
      <c r="H337" s="22" t="str">
        <f aca="false">IF($Z337=1,$AA337-1,"")</f>
        <v/>
      </c>
      <c r="I337" s="23"/>
      <c r="J337" s="1"/>
      <c r="K337" s="1"/>
      <c r="L337" s="1"/>
      <c r="M337" s="1"/>
      <c r="N337" s="1"/>
      <c r="O337" s="1"/>
      <c r="P337" s="1"/>
      <c r="Q337" s="1"/>
      <c r="R337" s="1"/>
      <c r="S337" s="1"/>
      <c r="Z337" s="24" t="n">
        <f aca="false">IF($AB337="",0,IF(ISNUMBER($B337),IF(AND($B337&gt;=N($B$3),OR(NOT(ISNUMBER($D$3)),$B337&lt;=$D$3)),1,0),1))</f>
        <v>0</v>
      </c>
      <c r="AA337" s="24" t="n">
        <f aca="false">$AA336*(1+IF($Z337=1,N($G337),0))</f>
        <v>1.0035</v>
      </c>
      <c r="AB337" s="0" t="str">
        <f aca="false">IF($F337="","",IFERROR(INDEX(Cilësimet!$B$6:$B$10,MATCH($F337,Cilësimet!$A$6:$A$10,0)),""))</f>
        <v/>
      </c>
    </row>
    <row r="338" customFormat="false" ht="18.75" hidden="false" customHeight="true" outlineLevel="0" collapsed="false">
      <c r="A338" s="1"/>
      <c r="B338" s="17"/>
      <c r="C338" s="18"/>
      <c r="D338" s="18"/>
      <c r="E338" s="19"/>
      <c r="F338" s="20"/>
      <c r="G338" s="21" t="str">
        <f aca="false">IF($AB338="","",Cilësimet!$C$3*(INDEX(Cilësimet!$C$6:$C$10,MATCH($F338,Cilësimet!$A$6:$A$10,0))*N($E338)+INDEX(Cilësimet!$D$6:$D$10,MATCH($F338,Cilësimet!$A$6:$A$10,0))))</f>
        <v/>
      </c>
      <c r="H338" s="22" t="str">
        <f aca="false">IF($Z338=1,$AA338-1,"")</f>
        <v/>
      </c>
      <c r="I338" s="23"/>
      <c r="J338" s="1"/>
      <c r="K338" s="1"/>
      <c r="L338" s="1"/>
      <c r="M338" s="1"/>
      <c r="N338" s="1"/>
      <c r="O338" s="1"/>
      <c r="P338" s="1"/>
      <c r="Q338" s="1"/>
      <c r="R338" s="1"/>
      <c r="S338" s="1"/>
      <c r="Z338" s="24" t="n">
        <f aca="false">IF($AB338="",0,IF(ISNUMBER($B338),IF(AND($B338&gt;=N($B$3),OR(NOT(ISNUMBER($D$3)),$B338&lt;=$D$3)),1,0),1))</f>
        <v>0</v>
      </c>
      <c r="AA338" s="24" t="n">
        <f aca="false">$AA337*(1+IF($Z338=1,N($G338),0))</f>
        <v>1.0035</v>
      </c>
      <c r="AB338" s="0" t="str">
        <f aca="false">IF($F338="","",IFERROR(INDEX(Cilësimet!$B$6:$B$10,MATCH($F338,Cilësimet!$A$6:$A$10,0)),""))</f>
        <v/>
      </c>
    </row>
    <row r="339" customFormat="false" ht="18.75" hidden="false" customHeight="true" outlineLevel="0" collapsed="false">
      <c r="A339" s="1"/>
      <c r="B339" s="17"/>
      <c r="C339" s="18"/>
      <c r="D339" s="18"/>
      <c r="E339" s="19"/>
      <c r="F339" s="20"/>
      <c r="G339" s="21" t="str">
        <f aca="false">IF($AB339="","",Cilësimet!$C$3*(INDEX(Cilësimet!$C$6:$C$10,MATCH($F339,Cilësimet!$A$6:$A$10,0))*N($E339)+INDEX(Cilësimet!$D$6:$D$10,MATCH($F339,Cilësimet!$A$6:$A$10,0))))</f>
        <v/>
      </c>
      <c r="H339" s="22" t="str">
        <f aca="false">IF($Z339=1,$AA339-1,"")</f>
        <v/>
      </c>
      <c r="I339" s="23"/>
      <c r="J339" s="1"/>
      <c r="K339" s="1"/>
      <c r="L339" s="1"/>
      <c r="M339" s="1"/>
      <c r="N339" s="1"/>
      <c r="O339" s="1"/>
      <c r="P339" s="1"/>
      <c r="Q339" s="1"/>
      <c r="R339" s="1"/>
      <c r="S339" s="1"/>
      <c r="Z339" s="24" t="n">
        <f aca="false">IF($AB339="",0,IF(ISNUMBER($B339),IF(AND($B339&gt;=N($B$3),OR(NOT(ISNUMBER($D$3)),$B339&lt;=$D$3)),1,0),1))</f>
        <v>0</v>
      </c>
      <c r="AA339" s="24" t="n">
        <f aca="false">$AA338*(1+IF($Z339=1,N($G339),0))</f>
        <v>1.0035</v>
      </c>
      <c r="AB339" s="0" t="str">
        <f aca="false">IF($F339="","",IFERROR(INDEX(Cilësimet!$B$6:$B$10,MATCH($F339,Cilësimet!$A$6:$A$10,0)),""))</f>
        <v/>
      </c>
    </row>
    <row r="340" customFormat="false" ht="18.75" hidden="false" customHeight="true" outlineLevel="0" collapsed="false">
      <c r="A340" s="1"/>
      <c r="B340" s="17"/>
      <c r="C340" s="18"/>
      <c r="D340" s="18"/>
      <c r="E340" s="19"/>
      <c r="F340" s="20"/>
      <c r="G340" s="21" t="str">
        <f aca="false">IF($AB340="","",Cilësimet!$C$3*(INDEX(Cilësimet!$C$6:$C$10,MATCH($F340,Cilësimet!$A$6:$A$10,0))*N($E340)+INDEX(Cilësimet!$D$6:$D$10,MATCH($F340,Cilësimet!$A$6:$A$10,0))))</f>
        <v/>
      </c>
      <c r="H340" s="22" t="str">
        <f aca="false">IF($Z340=1,$AA340-1,"")</f>
        <v/>
      </c>
      <c r="I340" s="23"/>
      <c r="J340" s="1"/>
      <c r="K340" s="1"/>
      <c r="L340" s="1"/>
      <c r="M340" s="1"/>
      <c r="N340" s="1"/>
      <c r="O340" s="1"/>
      <c r="P340" s="1"/>
      <c r="Q340" s="1"/>
      <c r="R340" s="1"/>
      <c r="S340" s="1"/>
      <c r="Z340" s="24" t="n">
        <f aca="false">IF($AB340="",0,IF(ISNUMBER($B340),IF(AND($B340&gt;=N($B$3),OR(NOT(ISNUMBER($D$3)),$B340&lt;=$D$3)),1,0),1))</f>
        <v>0</v>
      </c>
      <c r="AA340" s="24" t="n">
        <f aca="false">$AA339*(1+IF($Z340=1,N($G340),0))</f>
        <v>1.0035</v>
      </c>
      <c r="AB340" s="0" t="str">
        <f aca="false">IF($F340="","",IFERROR(INDEX(Cilësimet!$B$6:$B$10,MATCH($F340,Cilësimet!$A$6:$A$10,0)),""))</f>
        <v/>
      </c>
    </row>
    <row r="341" customFormat="false" ht="18.75" hidden="false" customHeight="true" outlineLevel="0" collapsed="false">
      <c r="A341" s="1"/>
      <c r="B341" s="17"/>
      <c r="C341" s="18"/>
      <c r="D341" s="18"/>
      <c r="E341" s="19"/>
      <c r="F341" s="20"/>
      <c r="G341" s="21" t="str">
        <f aca="false">IF($AB341="","",Cilësimet!$C$3*(INDEX(Cilësimet!$C$6:$C$10,MATCH($F341,Cilësimet!$A$6:$A$10,0))*N($E341)+INDEX(Cilësimet!$D$6:$D$10,MATCH($F341,Cilësimet!$A$6:$A$10,0))))</f>
        <v/>
      </c>
      <c r="H341" s="22" t="str">
        <f aca="false">IF($Z341=1,$AA341-1,"")</f>
        <v/>
      </c>
      <c r="I341" s="23"/>
      <c r="J341" s="1"/>
      <c r="K341" s="1"/>
      <c r="L341" s="1"/>
      <c r="M341" s="1"/>
      <c r="N341" s="1"/>
      <c r="O341" s="1"/>
      <c r="P341" s="1"/>
      <c r="Q341" s="1"/>
      <c r="R341" s="1"/>
      <c r="S341" s="1"/>
      <c r="Z341" s="24" t="n">
        <f aca="false">IF($AB341="",0,IF(ISNUMBER($B341),IF(AND($B341&gt;=N($B$3),OR(NOT(ISNUMBER($D$3)),$B341&lt;=$D$3)),1,0),1))</f>
        <v>0</v>
      </c>
      <c r="AA341" s="24" t="n">
        <f aca="false">$AA340*(1+IF($Z341=1,N($G341),0))</f>
        <v>1.0035</v>
      </c>
      <c r="AB341" s="0" t="str">
        <f aca="false">IF($F341="","",IFERROR(INDEX(Cilësimet!$B$6:$B$10,MATCH($F341,Cilësimet!$A$6:$A$10,0)),""))</f>
        <v/>
      </c>
    </row>
    <row r="342" customFormat="false" ht="18.75" hidden="false" customHeight="true" outlineLevel="0" collapsed="false">
      <c r="A342" s="1"/>
      <c r="B342" s="17"/>
      <c r="C342" s="18"/>
      <c r="D342" s="18"/>
      <c r="E342" s="19"/>
      <c r="F342" s="20"/>
      <c r="G342" s="21" t="str">
        <f aca="false">IF($AB342="","",Cilësimet!$C$3*(INDEX(Cilësimet!$C$6:$C$10,MATCH($F342,Cilësimet!$A$6:$A$10,0))*N($E342)+INDEX(Cilësimet!$D$6:$D$10,MATCH($F342,Cilësimet!$A$6:$A$10,0))))</f>
        <v/>
      </c>
      <c r="H342" s="22" t="str">
        <f aca="false">IF($Z342=1,$AA342-1,"")</f>
        <v/>
      </c>
      <c r="I342" s="23"/>
      <c r="J342" s="1"/>
      <c r="K342" s="1"/>
      <c r="L342" s="1"/>
      <c r="M342" s="1"/>
      <c r="N342" s="1"/>
      <c r="O342" s="1"/>
      <c r="P342" s="1"/>
      <c r="Q342" s="1"/>
      <c r="R342" s="1"/>
      <c r="S342" s="1"/>
      <c r="Z342" s="24" t="n">
        <f aca="false">IF($AB342="",0,IF(ISNUMBER($B342),IF(AND($B342&gt;=N($B$3),OR(NOT(ISNUMBER($D$3)),$B342&lt;=$D$3)),1,0),1))</f>
        <v>0</v>
      </c>
      <c r="AA342" s="24" t="n">
        <f aca="false">$AA341*(1+IF($Z342=1,N($G342),0))</f>
        <v>1.0035</v>
      </c>
      <c r="AB342" s="0" t="str">
        <f aca="false">IF($F342="","",IFERROR(INDEX(Cilësimet!$B$6:$B$10,MATCH($F342,Cilësimet!$A$6:$A$10,0)),""))</f>
        <v/>
      </c>
    </row>
    <row r="343" customFormat="false" ht="18.75" hidden="false" customHeight="true" outlineLevel="0" collapsed="false">
      <c r="A343" s="1"/>
      <c r="B343" s="17"/>
      <c r="C343" s="18"/>
      <c r="D343" s="18"/>
      <c r="E343" s="19"/>
      <c r="F343" s="20"/>
      <c r="G343" s="21" t="str">
        <f aca="false">IF($AB343="","",Cilësimet!$C$3*(INDEX(Cilësimet!$C$6:$C$10,MATCH($F343,Cilësimet!$A$6:$A$10,0))*N($E343)+INDEX(Cilësimet!$D$6:$D$10,MATCH($F343,Cilësimet!$A$6:$A$10,0))))</f>
        <v/>
      </c>
      <c r="H343" s="22" t="str">
        <f aca="false">IF($Z343=1,$AA343-1,"")</f>
        <v/>
      </c>
      <c r="I343" s="23"/>
      <c r="J343" s="1"/>
      <c r="K343" s="1"/>
      <c r="L343" s="1"/>
      <c r="M343" s="1"/>
      <c r="N343" s="1"/>
      <c r="O343" s="1"/>
      <c r="P343" s="1"/>
      <c r="Q343" s="1"/>
      <c r="R343" s="1"/>
      <c r="S343" s="1"/>
      <c r="Z343" s="24" t="n">
        <f aca="false">IF($AB343="",0,IF(ISNUMBER($B343),IF(AND($B343&gt;=N($B$3),OR(NOT(ISNUMBER($D$3)),$B343&lt;=$D$3)),1,0),1))</f>
        <v>0</v>
      </c>
      <c r="AA343" s="24" t="n">
        <f aca="false">$AA342*(1+IF($Z343=1,N($G343),0))</f>
        <v>1.0035</v>
      </c>
      <c r="AB343" s="0" t="str">
        <f aca="false">IF($F343="","",IFERROR(INDEX(Cilësimet!$B$6:$B$10,MATCH($F343,Cilësimet!$A$6:$A$10,0)),""))</f>
        <v/>
      </c>
    </row>
    <row r="344" customFormat="false" ht="18.75" hidden="false" customHeight="true" outlineLevel="0" collapsed="false">
      <c r="A344" s="1"/>
      <c r="B344" s="17"/>
      <c r="C344" s="18"/>
      <c r="D344" s="18"/>
      <c r="E344" s="19"/>
      <c r="F344" s="20"/>
      <c r="G344" s="21" t="str">
        <f aca="false">IF($AB344="","",Cilësimet!$C$3*(INDEX(Cilësimet!$C$6:$C$10,MATCH($F344,Cilësimet!$A$6:$A$10,0))*N($E344)+INDEX(Cilësimet!$D$6:$D$10,MATCH($F344,Cilësimet!$A$6:$A$10,0))))</f>
        <v/>
      </c>
      <c r="H344" s="22" t="str">
        <f aca="false">IF($Z344=1,$AA344-1,"")</f>
        <v/>
      </c>
      <c r="I344" s="23"/>
      <c r="J344" s="1"/>
      <c r="K344" s="1"/>
      <c r="L344" s="1"/>
      <c r="M344" s="1"/>
      <c r="N344" s="1"/>
      <c r="O344" s="1"/>
      <c r="P344" s="1"/>
      <c r="Q344" s="1"/>
      <c r="R344" s="1"/>
      <c r="S344" s="1"/>
      <c r="Z344" s="24" t="n">
        <f aca="false">IF($AB344="",0,IF(ISNUMBER($B344),IF(AND($B344&gt;=N($B$3),OR(NOT(ISNUMBER($D$3)),$B344&lt;=$D$3)),1,0),1))</f>
        <v>0</v>
      </c>
      <c r="AA344" s="24" t="n">
        <f aca="false">$AA343*(1+IF($Z344=1,N($G344),0))</f>
        <v>1.0035</v>
      </c>
      <c r="AB344" s="0" t="str">
        <f aca="false">IF($F344="","",IFERROR(INDEX(Cilësimet!$B$6:$B$10,MATCH($F344,Cilësimet!$A$6:$A$10,0)),""))</f>
        <v/>
      </c>
    </row>
    <row r="345" customFormat="false" ht="18.75" hidden="false" customHeight="true" outlineLevel="0" collapsed="false">
      <c r="A345" s="1"/>
      <c r="B345" s="17"/>
      <c r="C345" s="18"/>
      <c r="D345" s="18"/>
      <c r="E345" s="19"/>
      <c r="F345" s="20"/>
      <c r="G345" s="21" t="str">
        <f aca="false">IF($AB345="","",Cilësimet!$C$3*(INDEX(Cilësimet!$C$6:$C$10,MATCH($F345,Cilësimet!$A$6:$A$10,0))*N($E345)+INDEX(Cilësimet!$D$6:$D$10,MATCH($F345,Cilësimet!$A$6:$A$10,0))))</f>
        <v/>
      </c>
      <c r="H345" s="22" t="str">
        <f aca="false">IF($Z345=1,$AA345-1,"")</f>
        <v/>
      </c>
      <c r="I345" s="23"/>
      <c r="J345" s="1"/>
      <c r="K345" s="1"/>
      <c r="L345" s="1"/>
      <c r="M345" s="1"/>
      <c r="N345" s="1"/>
      <c r="O345" s="1"/>
      <c r="P345" s="1"/>
      <c r="Q345" s="1"/>
      <c r="R345" s="1"/>
      <c r="S345" s="1"/>
      <c r="Z345" s="24" t="n">
        <f aca="false">IF($AB345="",0,IF(ISNUMBER($B345),IF(AND($B345&gt;=N($B$3),OR(NOT(ISNUMBER($D$3)),$B345&lt;=$D$3)),1,0),1))</f>
        <v>0</v>
      </c>
      <c r="AA345" s="24" t="n">
        <f aca="false">$AA344*(1+IF($Z345=1,N($G345),0))</f>
        <v>1.0035</v>
      </c>
      <c r="AB345" s="0" t="str">
        <f aca="false">IF($F345="","",IFERROR(INDEX(Cilësimet!$B$6:$B$10,MATCH($F345,Cilësimet!$A$6:$A$10,0)),""))</f>
        <v/>
      </c>
    </row>
    <row r="346" customFormat="false" ht="18.75" hidden="false" customHeight="true" outlineLevel="0" collapsed="false">
      <c r="A346" s="1"/>
      <c r="B346" s="17"/>
      <c r="C346" s="18"/>
      <c r="D346" s="18"/>
      <c r="E346" s="19"/>
      <c r="F346" s="20"/>
      <c r="G346" s="21" t="str">
        <f aca="false">IF($AB346="","",Cilësimet!$C$3*(INDEX(Cilësimet!$C$6:$C$10,MATCH($F346,Cilësimet!$A$6:$A$10,0))*N($E346)+INDEX(Cilësimet!$D$6:$D$10,MATCH($F346,Cilësimet!$A$6:$A$10,0))))</f>
        <v/>
      </c>
      <c r="H346" s="22" t="str">
        <f aca="false">IF($Z346=1,$AA346-1,"")</f>
        <v/>
      </c>
      <c r="I346" s="23"/>
      <c r="J346" s="1"/>
      <c r="K346" s="1"/>
      <c r="L346" s="1"/>
      <c r="M346" s="1"/>
      <c r="N346" s="1"/>
      <c r="O346" s="1"/>
      <c r="P346" s="1"/>
      <c r="Q346" s="1"/>
      <c r="R346" s="1"/>
      <c r="S346" s="1"/>
      <c r="Z346" s="24" t="n">
        <f aca="false">IF($AB346="",0,IF(ISNUMBER($B346),IF(AND($B346&gt;=N($B$3),OR(NOT(ISNUMBER($D$3)),$B346&lt;=$D$3)),1,0),1))</f>
        <v>0</v>
      </c>
      <c r="AA346" s="24" t="n">
        <f aca="false">$AA345*(1+IF($Z346=1,N($G346),0))</f>
        <v>1.0035</v>
      </c>
      <c r="AB346" s="0" t="str">
        <f aca="false">IF($F346="","",IFERROR(INDEX(Cilësimet!$B$6:$B$10,MATCH($F346,Cilësimet!$A$6:$A$10,0)),""))</f>
        <v/>
      </c>
    </row>
    <row r="347" customFormat="false" ht="18.75" hidden="false" customHeight="true" outlineLevel="0" collapsed="false">
      <c r="A347" s="1"/>
      <c r="B347" s="17"/>
      <c r="C347" s="18"/>
      <c r="D347" s="18"/>
      <c r="E347" s="19"/>
      <c r="F347" s="20"/>
      <c r="G347" s="21" t="str">
        <f aca="false">IF($AB347="","",Cilësimet!$C$3*(INDEX(Cilësimet!$C$6:$C$10,MATCH($F347,Cilësimet!$A$6:$A$10,0))*N($E347)+INDEX(Cilësimet!$D$6:$D$10,MATCH($F347,Cilësimet!$A$6:$A$10,0))))</f>
        <v/>
      </c>
      <c r="H347" s="22" t="str">
        <f aca="false">IF($Z347=1,$AA347-1,"")</f>
        <v/>
      </c>
      <c r="I347" s="23"/>
      <c r="J347" s="1"/>
      <c r="K347" s="1"/>
      <c r="L347" s="1"/>
      <c r="M347" s="1"/>
      <c r="N347" s="1"/>
      <c r="O347" s="1"/>
      <c r="P347" s="1"/>
      <c r="Q347" s="1"/>
      <c r="R347" s="1"/>
      <c r="S347" s="1"/>
      <c r="Z347" s="24" t="n">
        <f aca="false">IF($AB347="",0,IF(ISNUMBER($B347),IF(AND($B347&gt;=N($B$3),OR(NOT(ISNUMBER($D$3)),$B347&lt;=$D$3)),1,0),1))</f>
        <v>0</v>
      </c>
      <c r="AA347" s="24" t="n">
        <f aca="false">$AA346*(1+IF($Z347=1,N($G347),0))</f>
        <v>1.0035</v>
      </c>
      <c r="AB347" s="0" t="str">
        <f aca="false">IF($F347="","",IFERROR(INDEX(Cilësimet!$B$6:$B$10,MATCH($F347,Cilësimet!$A$6:$A$10,0)),""))</f>
        <v/>
      </c>
    </row>
    <row r="348" customFormat="false" ht="18.75" hidden="false" customHeight="true" outlineLevel="0" collapsed="false">
      <c r="A348" s="1"/>
      <c r="B348" s="17"/>
      <c r="C348" s="18"/>
      <c r="D348" s="18"/>
      <c r="E348" s="19"/>
      <c r="F348" s="20"/>
      <c r="G348" s="21" t="str">
        <f aca="false">IF($AB348="","",Cilësimet!$C$3*(INDEX(Cilësimet!$C$6:$C$10,MATCH($F348,Cilësimet!$A$6:$A$10,0))*N($E348)+INDEX(Cilësimet!$D$6:$D$10,MATCH($F348,Cilësimet!$A$6:$A$10,0))))</f>
        <v/>
      </c>
      <c r="H348" s="22" t="str">
        <f aca="false">IF($Z348=1,$AA348-1,"")</f>
        <v/>
      </c>
      <c r="I348" s="23"/>
      <c r="J348" s="1"/>
      <c r="K348" s="1"/>
      <c r="L348" s="1"/>
      <c r="M348" s="1"/>
      <c r="N348" s="1"/>
      <c r="O348" s="1"/>
      <c r="P348" s="1"/>
      <c r="Q348" s="1"/>
      <c r="R348" s="1"/>
      <c r="S348" s="1"/>
      <c r="Z348" s="24" t="n">
        <f aca="false">IF($AB348="",0,IF(ISNUMBER($B348),IF(AND($B348&gt;=N($B$3),OR(NOT(ISNUMBER($D$3)),$B348&lt;=$D$3)),1,0),1))</f>
        <v>0</v>
      </c>
      <c r="AA348" s="24" t="n">
        <f aca="false">$AA347*(1+IF($Z348=1,N($G348),0))</f>
        <v>1.0035</v>
      </c>
      <c r="AB348" s="0" t="str">
        <f aca="false">IF($F348="","",IFERROR(INDEX(Cilësimet!$B$6:$B$10,MATCH($F348,Cilësimet!$A$6:$A$10,0)),""))</f>
        <v/>
      </c>
    </row>
    <row r="349" customFormat="false" ht="18.75" hidden="false" customHeight="true" outlineLevel="0" collapsed="false">
      <c r="A349" s="1"/>
      <c r="B349" s="17"/>
      <c r="C349" s="18"/>
      <c r="D349" s="18"/>
      <c r="E349" s="19"/>
      <c r="F349" s="20"/>
      <c r="G349" s="21" t="str">
        <f aca="false">IF($AB349="","",Cilësimet!$C$3*(INDEX(Cilësimet!$C$6:$C$10,MATCH($F349,Cilësimet!$A$6:$A$10,0))*N($E349)+INDEX(Cilësimet!$D$6:$D$10,MATCH($F349,Cilësimet!$A$6:$A$10,0))))</f>
        <v/>
      </c>
      <c r="H349" s="22" t="str">
        <f aca="false">IF($Z349=1,$AA349-1,"")</f>
        <v/>
      </c>
      <c r="I349" s="23"/>
      <c r="J349" s="1"/>
      <c r="K349" s="1"/>
      <c r="L349" s="1"/>
      <c r="M349" s="1"/>
      <c r="N349" s="1"/>
      <c r="O349" s="1"/>
      <c r="P349" s="1"/>
      <c r="Q349" s="1"/>
      <c r="R349" s="1"/>
      <c r="S349" s="1"/>
      <c r="Z349" s="24" t="n">
        <f aca="false">IF($AB349="",0,IF(ISNUMBER($B349),IF(AND($B349&gt;=N($B$3),OR(NOT(ISNUMBER($D$3)),$B349&lt;=$D$3)),1,0),1))</f>
        <v>0</v>
      </c>
      <c r="AA349" s="24" t="n">
        <f aca="false">$AA348*(1+IF($Z349=1,N($G349),0))</f>
        <v>1.0035</v>
      </c>
      <c r="AB349" s="0" t="str">
        <f aca="false">IF($F349="","",IFERROR(INDEX(Cilësimet!$B$6:$B$10,MATCH($F349,Cilësimet!$A$6:$A$10,0)),""))</f>
        <v/>
      </c>
    </row>
    <row r="350" customFormat="false" ht="18.75" hidden="false" customHeight="true" outlineLevel="0" collapsed="false">
      <c r="A350" s="1"/>
      <c r="B350" s="17"/>
      <c r="C350" s="18"/>
      <c r="D350" s="18"/>
      <c r="E350" s="19"/>
      <c r="F350" s="20"/>
      <c r="G350" s="21" t="str">
        <f aca="false">IF($AB350="","",Cilësimet!$C$3*(INDEX(Cilësimet!$C$6:$C$10,MATCH($F350,Cilësimet!$A$6:$A$10,0))*N($E350)+INDEX(Cilësimet!$D$6:$D$10,MATCH($F350,Cilësimet!$A$6:$A$10,0))))</f>
        <v/>
      </c>
      <c r="H350" s="22" t="str">
        <f aca="false">IF($Z350=1,$AA350-1,"")</f>
        <v/>
      </c>
      <c r="I350" s="23"/>
      <c r="J350" s="1"/>
      <c r="K350" s="1"/>
      <c r="L350" s="1"/>
      <c r="M350" s="1"/>
      <c r="N350" s="1"/>
      <c r="O350" s="1"/>
      <c r="P350" s="1"/>
      <c r="Q350" s="1"/>
      <c r="R350" s="1"/>
      <c r="S350" s="1"/>
      <c r="Z350" s="24" t="n">
        <f aca="false">IF($AB350="",0,IF(ISNUMBER($B350),IF(AND($B350&gt;=N($B$3),OR(NOT(ISNUMBER($D$3)),$B350&lt;=$D$3)),1,0),1))</f>
        <v>0</v>
      </c>
      <c r="AA350" s="24" t="n">
        <f aca="false">$AA349*(1+IF($Z350=1,N($G350),0))</f>
        <v>1.0035</v>
      </c>
      <c r="AB350" s="0" t="str">
        <f aca="false">IF($F350="","",IFERROR(INDEX(Cilësimet!$B$6:$B$10,MATCH($F350,Cilësimet!$A$6:$A$10,0)),""))</f>
        <v/>
      </c>
    </row>
    <row r="351" customFormat="false" ht="18.75" hidden="false" customHeight="true" outlineLevel="0" collapsed="false">
      <c r="A351" s="1"/>
      <c r="B351" s="17"/>
      <c r="C351" s="18"/>
      <c r="D351" s="18"/>
      <c r="E351" s="19"/>
      <c r="F351" s="20"/>
      <c r="G351" s="21" t="str">
        <f aca="false">IF($AB351="","",Cilësimet!$C$3*(INDEX(Cilësimet!$C$6:$C$10,MATCH($F351,Cilësimet!$A$6:$A$10,0))*N($E351)+INDEX(Cilësimet!$D$6:$D$10,MATCH($F351,Cilësimet!$A$6:$A$10,0))))</f>
        <v/>
      </c>
      <c r="H351" s="22" t="str">
        <f aca="false">IF($Z351=1,$AA351-1,"")</f>
        <v/>
      </c>
      <c r="I351" s="23"/>
      <c r="J351" s="1"/>
      <c r="K351" s="1"/>
      <c r="L351" s="1"/>
      <c r="M351" s="1"/>
      <c r="N351" s="1"/>
      <c r="O351" s="1"/>
      <c r="P351" s="1"/>
      <c r="Q351" s="1"/>
      <c r="R351" s="1"/>
      <c r="S351" s="1"/>
      <c r="Z351" s="24" t="n">
        <f aca="false">IF($AB351="",0,IF(ISNUMBER($B351),IF(AND($B351&gt;=N($B$3),OR(NOT(ISNUMBER($D$3)),$B351&lt;=$D$3)),1,0),1))</f>
        <v>0</v>
      </c>
      <c r="AA351" s="24" t="n">
        <f aca="false">$AA350*(1+IF($Z351=1,N($G351),0))</f>
        <v>1.0035</v>
      </c>
      <c r="AB351" s="0" t="str">
        <f aca="false">IF($F351="","",IFERROR(INDEX(Cilësimet!$B$6:$B$10,MATCH($F351,Cilësimet!$A$6:$A$10,0)),""))</f>
        <v/>
      </c>
    </row>
    <row r="352" customFormat="false" ht="18.75" hidden="false" customHeight="true" outlineLevel="0" collapsed="false">
      <c r="A352" s="1"/>
      <c r="B352" s="17"/>
      <c r="C352" s="18"/>
      <c r="D352" s="18"/>
      <c r="E352" s="19"/>
      <c r="F352" s="20"/>
      <c r="G352" s="21" t="str">
        <f aca="false">IF($AB352="","",Cilësimet!$C$3*(INDEX(Cilësimet!$C$6:$C$10,MATCH($F352,Cilësimet!$A$6:$A$10,0))*N($E352)+INDEX(Cilësimet!$D$6:$D$10,MATCH($F352,Cilësimet!$A$6:$A$10,0))))</f>
        <v/>
      </c>
      <c r="H352" s="22" t="str">
        <f aca="false">IF($Z352=1,$AA352-1,"")</f>
        <v/>
      </c>
      <c r="I352" s="23"/>
      <c r="J352" s="1"/>
      <c r="K352" s="1"/>
      <c r="L352" s="1"/>
      <c r="M352" s="1"/>
      <c r="N352" s="1"/>
      <c r="O352" s="1"/>
      <c r="P352" s="1"/>
      <c r="Q352" s="1"/>
      <c r="R352" s="1"/>
      <c r="S352" s="1"/>
      <c r="Z352" s="24" t="n">
        <f aca="false">IF($AB352="",0,IF(ISNUMBER($B352),IF(AND($B352&gt;=N($B$3),OR(NOT(ISNUMBER($D$3)),$B352&lt;=$D$3)),1,0),1))</f>
        <v>0</v>
      </c>
      <c r="AA352" s="24" t="n">
        <f aca="false">$AA351*(1+IF($Z352=1,N($G352),0))</f>
        <v>1.0035</v>
      </c>
      <c r="AB352" s="0" t="str">
        <f aca="false">IF($F352="","",IFERROR(INDEX(Cilësimet!$B$6:$B$10,MATCH($F352,Cilësimet!$A$6:$A$10,0)),""))</f>
        <v/>
      </c>
    </row>
    <row r="353" customFormat="false" ht="18.75" hidden="false" customHeight="true" outlineLevel="0" collapsed="false">
      <c r="A353" s="1"/>
      <c r="B353" s="17"/>
      <c r="C353" s="18"/>
      <c r="D353" s="18"/>
      <c r="E353" s="19"/>
      <c r="F353" s="20"/>
      <c r="G353" s="21" t="str">
        <f aca="false">IF($AB353="","",Cilësimet!$C$3*(INDEX(Cilësimet!$C$6:$C$10,MATCH($F353,Cilësimet!$A$6:$A$10,0))*N($E353)+INDEX(Cilësimet!$D$6:$D$10,MATCH($F353,Cilësimet!$A$6:$A$10,0))))</f>
        <v/>
      </c>
      <c r="H353" s="22" t="str">
        <f aca="false">IF($Z353=1,$AA353-1,"")</f>
        <v/>
      </c>
      <c r="I353" s="23"/>
      <c r="J353" s="1"/>
      <c r="K353" s="1"/>
      <c r="L353" s="1"/>
      <c r="M353" s="1"/>
      <c r="N353" s="1"/>
      <c r="O353" s="1"/>
      <c r="P353" s="1"/>
      <c r="Q353" s="1"/>
      <c r="R353" s="1"/>
      <c r="S353" s="1"/>
      <c r="Z353" s="24" t="n">
        <f aca="false">IF($AB353="",0,IF(ISNUMBER($B353),IF(AND($B353&gt;=N($B$3),OR(NOT(ISNUMBER($D$3)),$B353&lt;=$D$3)),1,0),1))</f>
        <v>0</v>
      </c>
      <c r="AA353" s="24" t="n">
        <f aca="false">$AA352*(1+IF($Z353=1,N($G353),0))</f>
        <v>1.0035</v>
      </c>
      <c r="AB353" s="0" t="str">
        <f aca="false">IF($F353="","",IFERROR(INDEX(Cilësimet!$B$6:$B$10,MATCH($F353,Cilësimet!$A$6:$A$10,0)),""))</f>
        <v/>
      </c>
    </row>
    <row r="354" customFormat="false" ht="18.75" hidden="false" customHeight="true" outlineLevel="0" collapsed="false">
      <c r="A354" s="1"/>
      <c r="B354" s="17"/>
      <c r="C354" s="18"/>
      <c r="D354" s="18"/>
      <c r="E354" s="19"/>
      <c r="F354" s="20"/>
      <c r="G354" s="21" t="str">
        <f aca="false">IF($AB354="","",Cilësimet!$C$3*(INDEX(Cilësimet!$C$6:$C$10,MATCH($F354,Cilësimet!$A$6:$A$10,0))*N($E354)+INDEX(Cilësimet!$D$6:$D$10,MATCH($F354,Cilësimet!$A$6:$A$10,0))))</f>
        <v/>
      </c>
      <c r="H354" s="22" t="str">
        <f aca="false">IF($Z354=1,$AA354-1,"")</f>
        <v/>
      </c>
      <c r="I354" s="23"/>
      <c r="J354" s="1"/>
      <c r="K354" s="1"/>
      <c r="L354" s="1"/>
      <c r="M354" s="1"/>
      <c r="N354" s="1"/>
      <c r="O354" s="1"/>
      <c r="P354" s="1"/>
      <c r="Q354" s="1"/>
      <c r="R354" s="1"/>
      <c r="S354" s="1"/>
      <c r="Z354" s="24" t="n">
        <f aca="false">IF($AB354="",0,IF(ISNUMBER($B354),IF(AND($B354&gt;=N($B$3),OR(NOT(ISNUMBER($D$3)),$B354&lt;=$D$3)),1,0),1))</f>
        <v>0</v>
      </c>
      <c r="AA354" s="24" t="n">
        <f aca="false">$AA353*(1+IF($Z354=1,N($G354),0))</f>
        <v>1.0035</v>
      </c>
      <c r="AB354" s="0" t="str">
        <f aca="false">IF($F354="","",IFERROR(INDEX(Cilësimet!$B$6:$B$10,MATCH($F354,Cilësimet!$A$6:$A$10,0)),""))</f>
        <v/>
      </c>
    </row>
    <row r="355" customFormat="false" ht="18.75" hidden="false" customHeight="true" outlineLevel="0" collapsed="false">
      <c r="A355" s="1"/>
      <c r="B355" s="17"/>
      <c r="C355" s="18"/>
      <c r="D355" s="18"/>
      <c r="E355" s="19"/>
      <c r="F355" s="20"/>
      <c r="G355" s="21" t="str">
        <f aca="false">IF($AB355="","",Cilësimet!$C$3*(INDEX(Cilësimet!$C$6:$C$10,MATCH($F355,Cilësimet!$A$6:$A$10,0))*N($E355)+INDEX(Cilësimet!$D$6:$D$10,MATCH($F355,Cilësimet!$A$6:$A$10,0))))</f>
        <v/>
      </c>
      <c r="H355" s="22" t="str">
        <f aca="false">IF($Z355=1,$AA355-1,"")</f>
        <v/>
      </c>
      <c r="I355" s="23"/>
      <c r="J355" s="1"/>
      <c r="K355" s="1"/>
      <c r="L355" s="1"/>
      <c r="M355" s="1"/>
      <c r="N355" s="1"/>
      <c r="O355" s="1"/>
      <c r="P355" s="1"/>
      <c r="Q355" s="1"/>
      <c r="R355" s="1"/>
      <c r="S355" s="1"/>
      <c r="Z355" s="24" t="n">
        <f aca="false">IF($AB355="",0,IF(ISNUMBER($B355),IF(AND($B355&gt;=N($B$3),OR(NOT(ISNUMBER($D$3)),$B355&lt;=$D$3)),1,0),1))</f>
        <v>0</v>
      </c>
      <c r="AA355" s="24" t="n">
        <f aca="false">$AA354*(1+IF($Z355=1,N($G355),0))</f>
        <v>1.0035</v>
      </c>
      <c r="AB355" s="0" t="str">
        <f aca="false">IF($F355="","",IFERROR(INDEX(Cilësimet!$B$6:$B$10,MATCH($F355,Cilësimet!$A$6:$A$10,0)),""))</f>
        <v/>
      </c>
    </row>
    <row r="356" customFormat="false" ht="18.75" hidden="false" customHeight="true" outlineLevel="0" collapsed="false">
      <c r="A356" s="1"/>
      <c r="B356" s="17"/>
      <c r="C356" s="18"/>
      <c r="D356" s="18"/>
      <c r="E356" s="19"/>
      <c r="F356" s="20"/>
      <c r="G356" s="21" t="str">
        <f aca="false">IF($AB356="","",Cilësimet!$C$3*(INDEX(Cilësimet!$C$6:$C$10,MATCH($F356,Cilësimet!$A$6:$A$10,0))*N($E356)+INDEX(Cilësimet!$D$6:$D$10,MATCH($F356,Cilësimet!$A$6:$A$10,0))))</f>
        <v/>
      </c>
      <c r="H356" s="22" t="str">
        <f aca="false">IF($Z356=1,$AA356-1,"")</f>
        <v/>
      </c>
      <c r="I356" s="23"/>
      <c r="J356" s="1"/>
      <c r="K356" s="1"/>
      <c r="L356" s="1"/>
      <c r="M356" s="1"/>
      <c r="N356" s="1"/>
      <c r="O356" s="1"/>
      <c r="P356" s="1"/>
      <c r="Q356" s="1"/>
      <c r="R356" s="1"/>
      <c r="S356" s="1"/>
      <c r="Z356" s="24" t="n">
        <f aca="false">IF($AB356="",0,IF(ISNUMBER($B356),IF(AND($B356&gt;=N($B$3),OR(NOT(ISNUMBER($D$3)),$B356&lt;=$D$3)),1,0),1))</f>
        <v>0</v>
      </c>
      <c r="AA356" s="24" t="n">
        <f aca="false">$AA355*(1+IF($Z356=1,N($G356),0))</f>
        <v>1.0035</v>
      </c>
      <c r="AB356" s="0" t="str">
        <f aca="false">IF($F356="","",IFERROR(INDEX(Cilësimet!$B$6:$B$10,MATCH($F356,Cilësimet!$A$6:$A$10,0)),""))</f>
        <v/>
      </c>
    </row>
    <row r="357" customFormat="false" ht="18.75" hidden="false" customHeight="true" outlineLevel="0" collapsed="false">
      <c r="A357" s="1"/>
      <c r="B357" s="17"/>
      <c r="C357" s="18"/>
      <c r="D357" s="18"/>
      <c r="E357" s="19"/>
      <c r="F357" s="20"/>
      <c r="G357" s="21" t="str">
        <f aca="false">IF($AB357="","",Cilësimet!$C$3*(INDEX(Cilësimet!$C$6:$C$10,MATCH($F357,Cilësimet!$A$6:$A$10,0))*N($E357)+INDEX(Cilësimet!$D$6:$D$10,MATCH($F357,Cilësimet!$A$6:$A$10,0))))</f>
        <v/>
      </c>
      <c r="H357" s="22" t="str">
        <f aca="false">IF($Z357=1,$AA357-1,"")</f>
        <v/>
      </c>
      <c r="I357" s="23"/>
      <c r="J357" s="1"/>
      <c r="K357" s="1"/>
      <c r="L357" s="1"/>
      <c r="M357" s="1"/>
      <c r="N357" s="1"/>
      <c r="O357" s="1"/>
      <c r="P357" s="1"/>
      <c r="Q357" s="1"/>
      <c r="R357" s="1"/>
      <c r="S357" s="1"/>
      <c r="Z357" s="24" t="n">
        <f aca="false">IF($AB357="",0,IF(ISNUMBER($B357),IF(AND($B357&gt;=N($B$3),OR(NOT(ISNUMBER($D$3)),$B357&lt;=$D$3)),1,0),1))</f>
        <v>0</v>
      </c>
      <c r="AA357" s="24" t="n">
        <f aca="false">$AA356*(1+IF($Z357=1,N($G357),0))</f>
        <v>1.0035</v>
      </c>
      <c r="AB357" s="0" t="str">
        <f aca="false">IF($F357="","",IFERROR(INDEX(Cilësimet!$B$6:$B$10,MATCH($F357,Cilësimet!$A$6:$A$10,0)),""))</f>
        <v/>
      </c>
    </row>
    <row r="358" customFormat="false" ht="18.75" hidden="false" customHeight="true" outlineLevel="0" collapsed="false">
      <c r="A358" s="1"/>
      <c r="B358" s="17"/>
      <c r="C358" s="18"/>
      <c r="D358" s="18"/>
      <c r="E358" s="19"/>
      <c r="F358" s="20"/>
      <c r="G358" s="21" t="str">
        <f aca="false">IF($AB358="","",Cilësimet!$C$3*(INDEX(Cilësimet!$C$6:$C$10,MATCH($F358,Cilësimet!$A$6:$A$10,0))*N($E358)+INDEX(Cilësimet!$D$6:$D$10,MATCH($F358,Cilësimet!$A$6:$A$10,0))))</f>
        <v/>
      </c>
      <c r="H358" s="22" t="str">
        <f aca="false">IF($Z358=1,$AA358-1,"")</f>
        <v/>
      </c>
      <c r="I358" s="23"/>
      <c r="J358" s="1"/>
      <c r="K358" s="1"/>
      <c r="L358" s="1"/>
      <c r="M358" s="1"/>
      <c r="N358" s="1"/>
      <c r="O358" s="1"/>
      <c r="P358" s="1"/>
      <c r="Q358" s="1"/>
      <c r="R358" s="1"/>
      <c r="S358" s="1"/>
      <c r="Z358" s="24" t="n">
        <f aca="false">IF($AB358="",0,IF(ISNUMBER($B358),IF(AND($B358&gt;=N($B$3),OR(NOT(ISNUMBER($D$3)),$B358&lt;=$D$3)),1,0),1))</f>
        <v>0</v>
      </c>
      <c r="AA358" s="24" t="n">
        <f aca="false">$AA357*(1+IF($Z358=1,N($G358),0))</f>
        <v>1.0035</v>
      </c>
      <c r="AB358" s="0" t="str">
        <f aca="false">IF($F358="","",IFERROR(INDEX(Cilësimet!$B$6:$B$10,MATCH($F358,Cilësimet!$A$6:$A$10,0)),""))</f>
        <v/>
      </c>
    </row>
    <row r="359" customFormat="false" ht="18.75" hidden="false" customHeight="true" outlineLevel="0" collapsed="false">
      <c r="A359" s="1"/>
      <c r="B359" s="17"/>
      <c r="C359" s="18"/>
      <c r="D359" s="18"/>
      <c r="E359" s="19"/>
      <c r="F359" s="20"/>
      <c r="G359" s="21" t="str">
        <f aca="false">IF($AB359="","",Cilësimet!$C$3*(INDEX(Cilësimet!$C$6:$C$10,MATCH($F359,Cilësimet!$A$6:$A$10,0))*N($E359)+INDEX(Cilësimet!$D$6:$D$10,MATCH($F359,Cilësimet!$A$6:$A$10,0))))</f>
        <v/>
      </c>
      <c r="H359" s="22" t="str">
        <f aca="false">IF($Z359=1,$AA359-1,"")</f>
        <v/>
      </c>
      <c r="I359" s="23"/>
      <c r="J359" s="1"/>
      <c r="K359" s="1"/>
      <c r="L359" s="1"/>
      <c r="M359" s="1"/>
      <c r="N359" s="1"/>
      <c r="O359" s="1"/>
      <c r="P359" s="1"/>
      <c r="Q359" s="1"/>
      <c r="R359" s="1"/>
      <c r="S359" s="1"/>
      <c r="Z359" s="24" t="n">
        <f aca="false">IF($AB359="",0,IF(ISNUMBER($B359),IF(AND($B359&gt;=N($B$3),OR(NOT(ISNUMBER($D$3)),$B359&lt;=$D$3)),1,0),1))</f>
        <v>0</v>
      </c>
      <c r="AA359" s="24" t="n">
        <f aca="false">$AA358*(1+IF($Z359=1,N($G359),0))</f>
        <v>1.0035</v>
      </c>
      <c r="AB359" s="0" t="str">
        <f aca="false">IF($F359="","",IFERROR(INDEX(Cilësimet!$B$6:$B$10,MATCH($F359,Cilësimet!$A$6:$A$10,0)),""))</f>
        <v/>
      </c>
    </row>
    <row r="360" customFormat="false" ht="18.75" hidden="false" customHeight="true" outlineLevel="0" collapsed="false">
      <c r="A360" s="1"/>
      <c r="B360" s="17"/>
      <c r="C360" s="18"/>
      <c r="D360" s="18"/>
      <c r="E360" s="19"/>
      <c r="F360" s="20"/>
      <c r="G360" s="21" t="str">
        <f aca="false">IF($AB360="","",Cilësimet!$C$3*(INDEX(Cilësimet!$C$6:$C$10,MATCH($F360,Cilësimet!$A$6:$A$10,0))*N($E360)+INDEX(Cilësimet!$D$6:$D$10,MATCH($F360,Cilësimet!$A$6:$A$10,0))))</f>
        <v/>
      </c>
      <c r="H360" s="22" t="str">
        <f aca="false">IF($Z360=1,$AA360-1,"")</f>
        <v/>
      </c>
      <c r="I360" s="23"/>
      <c r="J360" s="1"/>
      <c r="K360" s="1"/>
      <c r="L360" s="1"/>
      <c r="M360" s="1"/>
      <c r="N360" s="1"/>
      <c r="O360" s="1"/>
      <c r="P360" s="1"/>
      <c r="Q360" s="1"/>
      <c r="R360" s="1"/>
      <c r="S360" s="1"/>
      <c r="Z360" s="24" t="n">
        <f aca="false">IF($AB360="",0,IF(ISNUMBER($B360),IF(AND($B360&gt;=N($B$3),OR(NOT(ISNUMBER($D$3)),$B360&lt;=$D$3)),1,0),1))</f>
        <v>0</v>
      </c>
      <c r="AA360" s="24" t="n">
        <f aca="false">$AA359*(1+IF($Z360=1,N($G360),0))</f>
        <v>1.0035</v>
      </c>
      <c r="AB360" s="0" t="str">
        <f aca="false">IF($F360="","",IFERROR(INDEX(Cilësimet!$B$6:$B$10,MATCH($F360,Cilësimet!$A$6:$A$10,0)),""))</f>
        <v/>
      </c>
    </row>
    <row r="361" customFormat="false" ht="18.75" hidden="false" customHeight="true" outlineLevel="0" collapsed="false">
      <c r="A361" s="1"/>
      <c r="B361" s="17"/>
      <c r="C361" s="18"/>
      <c r="D361" s="18"/>
      <c r="E361" s="19"/>
      <c r="F361" s="20"/>
      <c r="G361" s="21" t="str">
        <f aca="false">IF($AB361="","",Cilësimet!$C$3*(INDEX(Cilësimet!$C$6:$C$10,MATCH($F361,Cilësimet!$A$6:$A$10,0))*N($E361)+INDEX(Cilësimet!$D$6:$D$10,MATCH($F361,Cilësimet!$A$6:$A$10,0))))</f>
        <v/>
      </c>
      <c r="H361" s="22" t="str">
        <f aca="false">IF($Z361=1,$AA361-1,"")</f>
        <v/>
      </c>
      <c r="I361" s="23"/>
      <c r="J361" s="1"/>
      <c r="K361" s="1"/>
      <c r="L361" s="1"/>
      <c r="M361" s="1"/>
      <c r="N361" s="1"/>
      <c r="O361" s="1"/>
      <c r="P361" s="1"/>
      <c r="Q361" s="1"/>
      <c r="R361" s="1"/>
      <c r="S361" s="1"/>
      <c r="Z361" s="24" t="n">
        <f aca="false">IF($AB361="",0,IF(ISNUMBER($B361),IF(AND($B361&gt;=N($B$3),OR(NOT(ISNUMBER($D$3)),$B361&lt;=$D$3)),1,0),1))</f>
        <v>0</v>
      </c>
      <c r="AA361" s="24" t="n">
        <f aca="false">$AA360*(1+IF($Z361=1,N($G361),0))</f>
        <v>1.0035</v>
      </c>
      <c r="AB361" s="0" t="str">
        <f aca="false">IF($F361="","",IFERROR(INDEX(Cilësimet!$B$6:$B$10,MATCH($F361,Cilësimet!$A$6:$A$10,0)),""))</f>
        <v/>
      </c>
    </row>
    <row r="362" customFormat="false" ht="18.75" hidden="false" customHeight="true" outlineLevel="0" collapsed="false">
      <c r="A362" s="1"/>
      <c r="B362" s="17"/>
      <c r="C362" s="18"/>
      <c r="D362" s="18"/>
      <c r="E362" s="19"/>
      <c r="F362" s="20"/>
      <c r="G362" s="21" t="str">
        <f aca="false">IF($AB362="","",Cilësimet!$C$3*(INDEX(Cilësimet!$C$6:$C$10,MATCH($F362,Cilësimet!$A$6:$A$10,0))*N($E362)+INDEX(Cilësimet!$D$6:$D$10,MATCH($F362,Cilësimet!$A$6:$A$10,0))))</f>
        <v/>
      </c>
      <c r="H362" s="22" t="str">
        <f aca="false">IF($Z362=1,$AA362-1,"")</f>
        <v/>
      </c>
      <c r="I362" s="23"/>
      <c r="J362" s="1"/>
      <c r="K362" s="1"/>
      <c r="L362" s="1"/>
      <c r="M362" s="1"/>
      <c r="N362" s="1"/>
      <c r="O362" s="1"/>
      <c r="P362" s="1"/>
      <c r="Q362" s="1"/>
      <c r="R362" s="1"/>
      <c r="S362" s="1"/>
      <c r="Z362" s="24" t="n">
        <f aca="false">IF($AB362="",0,IF(ISNUMBER($B362),IF(AND($B362&gt;=N($B$3),OR(NOT(ISNUMBER($D$3)),$B362&lt;=$D$3)),1,0),1))</f>
        <v>0</v>
      </c>
      <c r="AA362" s="24" t="n">
        <f aca="false">$AA361*(1+IF($Z362=1,N($G362),0))</f>
        <v>1.0035</v>
      </c>
      <c r="AB362" s="0" t="str">
        <f aca="false">IF($F362="","",IFERROR(INDEX(Cilësimet!$B$6:$B$10,MATCH($F362,Cilësimet!$A$6:$A$10,0)),""))</f>
        <v/>
      </c>
    </row>
    <row r="363" customFormat="false" ht="18.75" hidden="false" customHeight="true" outlineLevel="0" collapsed="false">
      <c r="A363" s="1"/>
      <c r="B363" s="17"/>
      <c r="C363" s="18"/>
      <c r="D363" s="18"/>
      <c r="E363" s="19"/>
      <c r="F363" s="20"/>
      <c r="G363" s="21" t="str">
        <f aca="false">IF($AB363="","",Cilësimet!$C$3*(INDEX(Cilësimet!$C$6:$C$10,MATCH($F363,Cilësimet!$A$6:$A$10,0))*N($E363)+INDEX(Cilësimet!$D$6:$D$10,MATCH($F363,Cilësimet!$A$6:$A$10,0))))</f>
        <v/>
      </c>
      <c r="H363" s="22" t="str">
        <f aca="false">IF($Z363=1,$AA363-1,"")</f>
        <v/>
      </c>
      <c r="I363" s="23"/>
      <c r="J363" s="1"/>
      <c r="K363" s="1"/>
      <c r="L363" s="1"/>
      <c r="M363" s="1"/>
      <c r="N363" s="1"/>
      <c r="O363" s="1"/>
      <c r="P363" s="1"/>
      <c r="Q363" s="1"/>
      <c r="R363" s="1"/>
      <c r="S363" s="1"/>
      <c r="Z363" s="24" t="n">
        <f aca="false">IF($AB363="",0,IF(ISNUMBER($B363),IF(AND($B363&gt;=N($B$3),OR(NOT(ISNUMBER($D$3)),$B363&lt;=$D$3)),1,0),1))</f>
        <v>0</v>
      </c>
      <c r="AA363" s="24" t="n">
        <f aca="false">$AA362*(1+IF($Z363=1,N($G363),0))</f>
        <v>1.0035</v>
      </c>
      <c r="AB363" s="0" t="str">
        <f aca="false">IF($F363="","",IFERROR(INDEX(Cilësimet!$B$6:$B$10,MATCH($F363,Cilësimet!$A$6:$A$10,0)),""))</f>
        <v/>
      </c>
    </row>
    <row r="364" customFormat="false" ht="18.75" hidden="false" customHeight="true" outlineLevel="0" collapsed="false">
      <c r="A364" s="1"/>
      <c r="B364" s="17"/>
      <c r="C364" s="18"/>
      <c r="D364" s="18"/>
      <c r="E364" s="19"/>
      <c r="F364" s="20"/>
      <c r="G364" s="21" t="str">
        <f aca="false">IF($AB364="","",Cilësimet!$C$3*(INDEX(Cilësimet!$C$6:$C$10,MATCH($F364,Cilësimet!$A$6:$A$10,0))*N($E364)+INDEX(Cilësimet!$D$6:$D$10,MATCH($F364,Cilësimet!$A$6:$A$10,0))))</f>
        <v/>
      </c>
      <c r="H364" s="22" t="str">
        <f aca="false">IF($Z364=1,$AA364-1,"")</f>
        <v/>
      </c>
      <c r="I364" s="23"/>
      <c r="J364" s="1"/>
      <c r="K364" s="1"/>
      <c r="L364" s="1"/>
      <c r="M364" s="1"/>
      <c r="N364" s="1"/>
      <c r="O364" s="1"/>
      <c r="P364" s="1"/>
      <c r="Q364" s="1"/>
      <c r="R364" s="1"/>
      <c r="S364" s="1"/>
      <c r="Z364" s="24" t="n">
        <f aca="false">IF($AB364="",0,IF(ISNUMBER($B364),IF(AND($B364&gt;=N($B$3),OR(NOT(ISNUMBER($D$3)),$B364&lt;=$D$3)),1,0),1))</f>
        <v>0</v>
      </c>
      <c r="AA364" s="24" t="n">
        <f aca="false">$AA363*(1+IF($Z364=1,N($G364),0))</f>
        <v>1.0035</v>
      </c>
      <c r="AB364" s="0" t="str">
        <f aca="false">IF($F364="","",IFERROR(INDEX(Cilësimet!$B$6:$B$10,MATCH($F364,Cilësimet!$A$6:$A$10,0)),""))</f>
        <v/>
      </c>
    </row>
    <row r="365" customFormat="false" ht="18.75" hidden="false" customHeight="true" outlineLevel="0" collapsed="false">
      <c r="A365" s="1"/>
      <c r="B365" s="17"/>
      <c r="C365" s="18"/>
      <c r="D365" s="18"/>
      <c r="E365" s="19"/>
      <c r="F365" s="20"/>
      <c r="G365" s="21" t="str">
        <f aca="false">IF($AB365="","",Cilësimet!$C$3*(INDEX(Cilësimet!$C$6:$C$10,MATCH($F365,Cilësimet!$A$6:$A$10,0))*N($E365)+INDEX(Cilësimet!$D$6:$D$10,MATCH($F365,Cilësimet!$A$6:$A$10,0))))</f>
        <v/>
      </c>
      <c r="H365" s="22" t="str">
        <f aca="false">IF($Z365=1,$AA365-1,"")</f>
        <v/>
      </c>
      <c r="I365" s="23"/>
      <c r="J365" s="1"/>
      <c r="K365" s="1"/>
      <c r="L365" s="1"/>
      <c r="M365" s="1"/>
      <c r="N365" s="1"/>
      <c r="O365" s="1"/>
      <c r="P365" s="1"/>
      <c r="Q365" s="1"/>
      <c r="R365" s="1"/>
      <c r="S365" s="1"/>
      <c r="Z365" s="24" t="n">
        <f aca="false">IF($AB365="",0,IF(ISNUMBER($B365),IF(AND($B365&gt;=N($B$3),OR(NOT(ISNUMBER($D$3)),$B365&lt;=$D$3)),1,0),1))</f>
        <v>0</v>
      </c>
      <c r="AA365" s="24" t="n">
        <f aca="false">$AA364*(1+IF($Z365=1,N($G365),0))</f>
        <v>1.0035</v>
      </c>
      <c r="AB365" s="0" t="str">
        <f aca="false">IF($F365="","",IFERROR(INDEX(Cilësimet!$B$6:$B$10,MATCH($F365,Cilësimet!$A$6:$A$10,0)),""))</f>
        <v/>
      </c>
    </row>
    <row r="366" customFormat="false" ht="18.75" hidden="false" customHeight="true" outlineLevel="0" collapsed="false">
      <c r="A366" s="1"/>
      <c r="B366" s="17"/>
      <c r="C366" s="18"/>
      <c r="D366" s="18"/>
      <c r="E366" s="19"/>
      <c r="F366" s="20"/>
      <c r="G366" s="21" t="str">
        <f aca="false">IF($AB366="","",Cilësimet!$C$3*(INDEX(Cilësimet!$C$6:$C$10,MATCH($F366,Cilësimet!$A$6:$A$10,0))*N($E366)+INDEX(Cilësimet!$D$6:$D$10,MATCH($F366,Cilësimet!$A$6:$A$10,0))))</f>
        <v/>
      </c>
      <c r="H366" s="22" t="str">
        <f aca="false">IF($Z366=1,$AA366-1,"")</f>
        <v/>
      </c>
      <c r="I366" s="23"/>
      <c r="J366" s="1"/>
      <c r="K366" s="1"/>
      <c r="L366" s="1"/>
      <c r="M366" s="1"/>
      <c r="N366" s="1"/>
      <c r="O366" s="1"/>
      <c r="P366" s="1"/>
      <c r="Q366" s="1"/>
      <c r="R366" s="1"/>
      <c r="S366" s="1"/>
      <c r="Z366" s="24" t="n">
        <f aca="false">IF($AB366="",0,IF(ISNUMBER($B366),IF(AND($B366&gt;=N($B$3),OR(NOT(ISNUMBER($D$3)),$B366&lt;=$D$3)),1,0),1))</f>
        <v>0</v>
      </c>
      <c r="AA366" s="24" t="n">
        <f aca="false">$AA365*(1+IF($Z366=1,N($G366),0))</f>
        <v>1.0035</v>
      </c>
      <c r="AB366" s="0" t="str">
        <f aca="false">IF($F366="","",IFERROR(INDEX(Cilësimet!$B$6:$B$10,MATCH($F366,Cilësimet!$A$6:$A$10,0)),""))</f>
        <v/>
      </c>
    </row>
    <row r="367" customFormat="false" ht="18.75" hidden="false" customHeight="true" outlineLevel="0" collapsed="false">
      <c r="A367" s="1"/>
      <c r="B367" s="17"/>
      <c r="C367" s="18"/>
      <c r="D367" s="18"/>
      <c r="E367" s="19"/>
      <c r="F367" s="20"/>
      <c r="G367" s="21" t="str">
        <f aca="false">IF($AB367="","",Cilësimet!$C$3*(INDEX(Cilësimet!$C$6:$C$10,MATCH($F367,Cilësimet!$A$6:$A$10,0))*N($E367)+INDEX(Cilësimet!$D$6:$D$10,MATCH($F367,Cilësimet!$A$6:$A$10,0))))</f>
        <v/>
      </c>
      <c r="H367" s="22" t="str">
        <f aca="false">IF($Z367=1,$AA367-1,"")</f>
        <v/>
      </c>
      <c r="I367" s="23"/>
      <c r="J367" s="1"/>
      <c r="K367" s="1"/>
      <c r="L367" s="1"/>
      <c r="M367" s="1"/>
      <c r="N367" s="1"/>
      <c r="O367" s="1"/>
      <c r="P367" s="1"/>
      <c r="Q367" s="1"/>
      <c r="R367" s="1"/>
      <c r="S367" s="1"/>
      <c r="Z367" s="24" t="n">
        <f aca="false">IF($AB367="",0,IF(ISNUMBER($B367),IF(AND($B367&gt;=N($B$3),OR(NOT(ISNUMBER($D$3)),$B367&lt;=$D$3)),1,0),1))</f>
        <v>0</v>
      </c>
      <c r="AA367" s="24" t="n">
        <f aca="false">$AA366*(1+IF($Z367=1,N($G367),0))</f>
        <v>1.0035</v>
      </c>
      <c r="AB367" s="0" t="str">
        <f aca="false">IF($F367="","",IFERROR(INDEX(Cilësimet!$B$6:$B$10,MATCH($F367,Cilësimet!$A$6:$A$10,0)),""))</f>
        <v/>
      </c>
    </row>
    <row r="368" customFormat="false" ht="18.75" hidden="false" customHeight="true" outlineLevel="0" collapsed="false">
      <c r="A368" s="1"/>
      <c r="B368" s="17"/>
      <c r="C368" s="18"/>
      <c r="D368" s="18"/>
      <c r="E368" s="19"/>
      <c r="F368" s="20"/>
      <c r="G368" s="21" t="str">
        <f aca="false">IF($AB368="","",Cilësimet!$C$3*(INDEX(Cilësimet!$C$6:$C$10,MATCH($F368,Cilësimet!$A$6:$A$10,0))*N($E368)+INDEX(Cilësimet!$D$6:$D$10,MATCH($F368,Cilësimet!$A$6:$A$10,0))))</f>
        <v/>
      </c>
      <c r="H368" s="22" t="str">
        <f aca="false">IF($Z368=1,$AA368-1,"")</f>
        <v/>
      </c>
      <c r="I368" s="23"/>
      <c r="J368" s="1"/>
      <c r="K368" s="1"/>
      <c r="L368" s="1"/>
      <c r="M368" s="1"/>
      <c r="N368" s="1"/>
      <c r="O368" s="1"/>
      <c r="P368" s="1"/>
      <c r="Q368" s="1"/>
      <c r="R368" s="1"/>
      <c r="S368" s="1"/>
      <c r="Z368" s="24" t="n">
        <f aca="false">IF($AB368="",0,IF(ISNUMBER($B368),IF(AND($B368&gt;=N($B$3),OR(NOT(ISNUMBER($D$3)),$B368&lt;=$D$3)),1,0),1))</f>
        <v>0</v>
      </c>
      <c r="AA368" s="24" t="n">
        <f aca="false">$AA367*(1+IF($Z368=1,N($G368),0))</f>
        <v>1.0035</v>
      </c>
      <c r="AB368" s="0" t="str">
        <f aca="false">IF($F368="","",IFERROR(INDEX(Cilësimet!$B$6:$B$10,MATCH($F368,Cilësimet!$A$6:$A$10,0)),""))</f>
        <v/>
      </c>
    </row>
    <row r="369" customFormat="false" ht="18.75" hidden="false" customHeight="true" outlineLevel="0" collapsed="false">
      <c r="A369" s="1"/>
      <c r="B369" s="17"/>
      <c r="C369" s="18"/>
      <c r="D369" s="18"/>
      <c r="E369" s="19"/>
      <c r="F369" s="20"/>
      <c r="G369" s="21" t="str">
        <f aca="false">IF($AB369="","",Cilësimet!$C$3*(INDEX(Cilësimet!$C$6:$C$10,MATCH($F369,Cilësimet!$A$6:$A$10,0))*N($E369)+INDEX(Cilësimet!$D$6:$D$10,MATCH($F369,Cilësimet!$A$6:$A$10,0))))</f>
        <v/>
      </c>
      <c r="H369" s="22" t="str">
        <f aca="false">IF($Z369=1,$AA369-1,"")</f>
        <v/>
      </c>
      <c r="I369" s="23"/>
      <c r="J369" s="1"/>
      <c r="K369" s="1"/>
      <c r="L369" s="1"/>
      <c r="M369" s="1"/>
      <c r="N369" s="1"/>
      <c r="O369" s="1"/>
      <c r="P369" s="1"/>
      <c r="Q369" s="1"/>
      <c r="R369" s="1"/>
      <c r="S369" s="1"/>
      <c r="Z369" s="24" t="n">
        <f aca="false">IF($AB369="",0,IF(ISNUMBER($B369),IF(AND($B369&gt;=N($B$3),OR(NOT(ISNUMBER($D$3)),$B369&lt;=$D$3)),1,0),1))</f>
        <v>0</v>
      </c>
      <c r="AA369" s="24" t="n">
        <f aca="false">$AA368*(1+IF($Z369=1,N($G369),0))</f>
        <v>1.0035</v>
      </c>
      <c r="AB369" s="0" t="str">
        <f aca="false">IF($F369="","",IFERROR(INDEX(Cilësimet!$B$6:$B$10,MATCH($F369,Cilësimet!$A$6:$A$10,0)),""))</f>
        <v/>
      </c>
    </row>
    <row r="370" customFormat="false" ht="18.75" hidden="false" customHeight="true" outlineLevel="0" collapsed="false">
      <c r="A370" s="1"/>
      <c r="B370" s="17"/>
      <c r="C370" s="18"/>
      <c r="D370" s="18"/>
      <c r="E370" s="19"/>
      <c r="F370" s="20"/>
      <c r="G370" s="21" t="str">
        <f aca="false">IF($AB370="","",Cilësimet!$C$3*(INDEX(Cilësimet!$C$6:$C$10,MATCH($F370,Cilësimet!$A$6:$A$10,0))*N($E370)+INDEX(Cilësimet!$D$6:$D$10,MATCH($F370,Cilësimet!$A$6:$A$10,0))))</f>
        <v/>
      </c>
      <c r="H370" s="22" t="str">
        <f aca="false">IF($Z370=1,$AA370-1,"")</f>
        <v/>
      </c>
      <c r="I370" s="23"/>
      <c r="J370" s="1"/>
      <c r="K370" s="1"/>
      <c r="L370" s="1"/>
      <c r="M370" s="1"/>
      <c r="N370" s="1"/>
      <c r="O370" s="1"/>
      <c r="P370" s="1"/>
      <c r="Q370" s="1"/>
      <c r="R370" s="1"/>
      <c r="S370" s="1"/>
      <c r="Z370" s="24" t="n">
        <f aca="false">IF($AB370="",0,IF(ISNUMBER($B370),IF(AND($B370&gt;=N($B$3),OR(NOT(ISNUMBER($D$3)),$B370&lt;=$D$3)),1,0),1))</f>
        <v>0</v>
      </c>
      <c r="AA370" s="24" t="n">
        <f aca="false">$AA369*(1+IF($Z370=1,N($G370),0))</f>
        <v>1.0035</v>
      </c>
      <c r="AB370" s="0" t="str">
        <f aca="false">IF($F370="","",IFERROR(INDEX(Cilësimet!$B$6:$B$10,MATCH($F370,Cilësimet!$A$6:$A$10,0)),""))</f>
        <v/>
      </c>
    </row>
    <row r="371" customFormat="false" ht="18.75" hidden="false" customHeight="true" outlineLevel="0" collapsed="false">
      <c r="A371" s="1"/>
      <c r="B371" s="17"/>
      <c r="C371" s="18"/>
      <c r="D371" s="18"/>
      <c r="E371" s="19"/>
      <c r="F371" s="20"/>
      <c r="G371" s="21" t="str">
        <f aca="false">IF($AB371="","",Cilësimet!$C$3*(INDEX(Cilësimet!$C$6:$C$10,MATCH($F371,Cilësimet!$A$6:$A$10,0))*N($E371)+INDEX(Cilësimet!$D$6:$D$10,MATCH($F371,Cilësimet!$A$6:$A$10,0))))</f>
        <v/>
      </c>
      <c r="H371" s="22" t="str">
        <f aca="false">IF($Z371=1,$AA371-1,"")</f>
        <v/>
      </c>
      <c r="I371" s="23"/>
      <c r="J371" s="1"/>
      <c r="K371" s="1"/>
      <c r="L371" s="1"/>
      <c r="M371" s="1"/>
      <c r="N371" s="1"/>
      <c r="O371" s="1"/>
      <c r="P371" s="1"/>
      <c r="Q371" s="1"/>
      <c r="R371" s="1"/>
      <c r="S371" s="1"/>
      <c r="Z371" s="24" t="n">
        <f aca="false">IF($AB371="",0,IF(ISNUMBER($B371),IF(AND($B371&gt;=N($B$3),OR(NOT(ISNUMBER($D$3)),$B371&lt;=$D$3)),1,0),1))</f>
        <v>0</v>
      </c>
      <c r="AA371" s="24" t="n">
        <f aca="false">$AA370*(1+IF($Z371=1,N($G371),0))</f>
        <v>1.0035</v>
      </c>
      <c r="AB371" s="0" t="str">
        <f aca="false">IF($F371="","",IFERROR(INDEX(Cilësimet!$B$6:$B$10,MATCH($F371,Cilësimet!$A$6:$A$10,0)),""))</f>
        <v/>
      </c>
    </row>
    <row r="372" customFormat="false" ht="18.75" hidden="false" customHeight="true" outlineLevel="0" collapsed="false">
      <c r="A372" s="1"/>
      <c r="B372" s="17"/>
      <c r="C372" s="18"/>
      <c r="D372" s="18"/>
      <c r="E372" s="19"/>
      <c r="F372" s="20"/>
      <c r="G372" s="21" t="str">
        <f aca="false">IF($AB372="","",Cilësimet!$C$3*(INDEX(Cilësimet!$C$6:$C$10,MATCH($F372,Cilësimet!$A$6:$A$10,0))*N($E372)+INDEX(Cilësimet!$D$6:$D$10,MATCH($F372,Cilësimet!$A$6:$A$10,0))))</f>
        <v/>
      </c>
      <c r="H372" s="22" t="str">
        <f aca="false">IF($Z372=1,$AA372-1,"")</f>
        <v/>
      </c>
      <c r="I372" s="23"/>
      <c r="J372" s="1"/>
      <c r="K372" s="1"/>
      <c r="L372" s="1"/>
      <c r="M372" s="1"/>
      <c r="N372" s="1"/>
      <c r="O372" s="1"/>
      <c r="P372" s="1"/>
      <c r="Q372" s="1"/>
      <c r="R372" s="1"/>
      <c r="S372" s="1"/>
      <c r="Z372" s="24" t="n">
        <f aca="false">IF($AB372="",0,IF(ISNUMBER($B372),IF(AND($B372&gt;=N($B$3),OR(NOT(ISNUMBER($D$3)),$B372&lt;=$D$3)),1,0),1))</f>
        <v>0</v>
      </c>
      <c r="AA372" s="24" t="n">
        <f aca="false">$AA371*(1+IF($Z372=1,N($G372),0))</f>
        <v>1.0035</v>
      </c>
      <c r="AB372" s="0" t="str">
        <f aca="false">IF($F372="","",IFERROR(INDEX(Cilësimet!$B$6:$B$10,MATCH($F372,Cilësimet!$A$6:$A$10,0)),""))</f>
        <v/>
      </c>
    </row>
    <row r="373" customFormat="false" ht="18.75" hidden="false" customHeight="true" outlineLevel="0" collapsed="false">
      <c r="A373" s="1"/>
      <c r="B373" s="17"/>
      <c r="C373" s="18"/>
      <c r="D373" s="18"/>
      <c r="E373" s="19"/>
      <c r="F373" s="20"/>
      <c r="G373" s="21" t="str">
        <f aca="false">IF($AB373="","",Cilësimet!$C$3*(INDEX(Cilësimet!$C$6:$C$10,MATCH($F373,Cilësimet!$A$6:$A$10,0))*N($E373)+INDEX(Cilësimet!$D$6:$D$10,MATCH($F373,Cilësimet!$A$6:$A$10,0))))</f>
        <v/>
      </c>
      <c r="H373" s="22" t="str">
        <f aca="false">IF($Z373=1,$AA373-1,"")</f>
        <v/>
      </c>
      <c r="I373" s="23"/>
      <c r="J373" s="1"/>
      <c r="K373" s="1"/>
      <c r="L373" s="1"/>
      <c r="M373" s="1"/>
      <c r="N373" s="1"/>
      <c r="O373" s="1"/>
      <c r="P373" s="1"/>
      <c r="Q373" s="1"/>
      <c r="R373" s="1"/>
      <c r="S373" s="1"/>
      <c r="Z373" s="24" t="n">
        <f aca="false">IF($AB373="",0,IF(ISNUMBER($B373),IF(AND($B373&gt;=N($B$3),OR(NOT(ISNUMBER($D$3)),$B373&lt;=$D$3)),1,0),1))</f>
        <v>0</v>
      </c>
      <c r="AA373" s="24" t="n">
        <f aca="false">$AA372*(1+IF($Z373=1,N($G373),0))</f>
        <v>1.0035</v>
      </c>
      <c r="AB373" s="0" t="str">
        <f aca="false">IF($F373="","",IFERROR(INDEX(Cilësimet!$B$6:$B$10,MATCH($F373,Cilësimet!$A$6:$A$10,0)),""))</f>
        <v/>
      </c>
    </row>
    <row r="374" customFormat="false" ht="18.75" hidden="false" customHeight="true" outlineLevel="0" collapsed="false">
      <c r="A374" s="1"/>
      <c r="B374" s="17"/>
      <c r="C374" s="18"/>
      <c r="D374" s="18"/>
      <c r="E374" s="19"/>
      <c r="F374" s="20"/>
      <c r="G374" s="21" t="str">
        <f aca="false">IF($AB374="","",Cilësimet!$C$3*(INDEX(Cilësimet!$C$6:$C$10,MATCH($F374,Cilësimet!$A$6:$A$10,0))*N($E374)+INDEX(Cilësimet!$D$6:$D$10,MATCH($F374,Cilësimet!$A$6:$A$10,0))))</f>
        <v/>
      </c>
      <c r="H374" s="22" t="str">
        <f aca="false">IF($Z374=1,$AA374-1,"")</f>
        <v/>
      </c>
      <c r="I374" s="23"/>
      <c r="J374" s="1"/>
      <c r="K374" s="1"/>
      <c r="L374" s="1"/>
      <c r="M374" s="1"/>
      <c r="N374" s="1"/>
      <c r="O374" s="1"/>
      <c r="P374" s="1"/>
      <c r="Q374" s="1"/>
      <c r="R374" s="1"/>
      <c r="S374" s="1"/>
      <c r="Z374" s="24" t="n">
        <f aca="false">IF($AB374="",0,IF(ISNUMBER($B374),IF(AND($B374&gt;=N($B$3),OR(NOT(ISNUMBER($D$3)),$B374&lt;=$D$3)),1,0),1))</f>
        <v>0</v>
      </c>
      <c r="AA374" s="24" t="n">
        <f aca="false">$AA373*(1+IF($Z374=1,N($G374),0))</f>
        <v>1.0035</v>
      </c>
      <c r="AB374" s="0" t="str">
        <f aca="false">IF($F374="","",IFERROR(INDEX(Cilësimet!$B$6:$B$10,MATCH($F374,Cilësimet!$A$6:$A$10,0)),""))</f>
        <v/>
      </c>
    </row>
    <row r="375" customFormat="false" ht="18.75" hidden="false" customHeight="true" outlineLevel="0" collapsed="false">
      <c r="A375" s="1"/>
      <c r="B375" s="17"/>
      <c r="C375" s="18"/>
      <c r="D375" s="18"/>
      <c r="E375" s="19"/>
      <c r="F375" s="20"/>
      <c r="G375" s="21" t="str">
        <f aca="false">IF($AB375="","",Cilësimet!$C$3*(INDEX(Cilësimet!$C$6:$C$10,MATCH($F375,Cilësimet!$A$6:$A$10,0))*N($E375)+INDEX(Cilësimet!$D$6:$D$10,MATCH($F375,Cilësimet!$A$6:$A$10,0))))</f>
        <v/>
      </c>
      <c r="H375" s="22" t="str">
        <f aca="false">IF($Z375=1,$AA375-1,"")</f>
        <v/>
      </c>
      <c r="I375" s="23"/>
      <c r="J375" s="1"/>
      <c r="K375" s="1"/>
      <c r="L375" s="1"/>
      <c r="M375" s="1"/>
      <c r="N375" s="1"/>
      <c r="O375" s="1"/>
      <c r="P375" s="1"/>
      <c r="Q375" s="1"/>
      <c r="R375" s="1"/>
      <c r="S375" s="1"/>
      <c r="Z375" s="24" t="n">
        <f aca="false">IF($AB375="",0,IF(ISNUMBER($B375),IF(AND($B375&gt;=N($B$3),OR(NOT(ISNUMBER($D$3)),$B375&lt;=$D$3)),1,0),1))</f>
        <v>0</v>
      </c>
      <c r="AA375" s="24" t="n">
        <f aca="false">$AA374*(1+IF($Z375=1,N($G375),0))</f>
        <v>1.0035</v>
      </c>
      <c r="AB375" s="0" t="str">
        <f aca="false">IF($F375="","",IFERROR(INDEX(Cilësimet!$B$6:$B$10,MATCH($F375,Cilësimet!$A$6:$A$10,0)),""))</f>
        <v/>
      </c>
    </row>
    <row r="376" customFormat="false" ht="18.75" hidden="false" customHeight="true" outlineLevel="0" collapsed="false">
      <c r="A376" s="1"/>
      <c r="B376" s="17"/>
      <c r="C376" s="18"/>
      <c r="D376" s="18"/>
      <c r="E376" s="19"/>
      <c r="F376" s="20"/>
      <c r="G376" s="21" t="str">
        <f aca="false">IF($AB376="","",Cilësimet!$C$3*(INDEX(Cilësimet!$C$6:$C$10,MATCH($F376,Cilësimet!$A$6:$A$10,0))*N($E376)+INDEX(Cilësimet!$D$6:$D$10,MATCH($F376,Cilësimet!$A$6:$A$10,0))))</f>
        <v/>
      </c>
      <c r="H376" s="22" t="str">
        <f aca="false">IF($Z376=1,$AA376-1,"")</f>
        <v/>
      </c>
      <c r="I376" s="23"/>
      <c r="J376" s="1"/>
      <c r="K376" s="1"/>
      <c r="L376" s="1"/>
      <c r="M376" s="1"/>
      <c r="N376" s="1"/>
      <c r="O376" s="1"/>
      <c r="P376" s="1"/>
      <c r="Q376" s="1"/>
      <c r="R376" s="1"/>
      <c r="S376" s="1"/>
      <c r="Z376" s="24" t="n">
        <f aca="false">IF($AB376="",0,IF(ISNUMBER($B376),IF(AND($B376&gt;=N($B$3),OR(NOT(ISNUMBER($D$3)),$B376&lt;=$D$3)),1,0),1))</f>
        <v>0</v>
      </c>
      <c r="AA376" s="24" t="n">
        <f aca="false">$AA375*(1+IF($Z376=1,N($G376),0))</f>
        <v>1.0035</v>
      </c>
      <c r="AB376" s="0" t="str">
        <f aca="false">IF($F376="","",IFERROR(INDEX(Cilësimet!$B$6:$B$10,MATCH($F376,Cilësimet!$A$6:$A$10,0)),""))</f>
        <v/>
      </c>
    </row>
    <row r="377" customFormat="false" ht="18.75" hidden="false" customHeight="true" outlineLevel="0" collapsed="false">
      <c r="A377" s="1"/>
      <c r="B377" s="17"/>
      <c r="C377" s="18"/>
      <c r="D377" s="18"/>
      <c r="E377" s="19"/>
      <c r="F377" s="20"/>
      <c r="G377" s="21" t="str">
        <f aca="false">IF($AB377="","",Cilësimet!$C$3*(INDEX(Cilësimet!$C$6:$C$10,MATCH($F377,Cilësimet!$A$6:$A$10,0))*N($E377)+INDEX(Cilësimet!$D$6:$D$10,MATCH($F377,Cilësimet!$A$6:$A$10,0))))</f>
        <v/>
      </c>
      <c r="H377" s="22" t="str">
        <f aca="false">IF($Z377=1,$AA377-1,"")</f>
        <v/>
      </c>
      <c r="I377" s="23"/>
      <c r="J377" s="1"/>
      <c r="K377" s="1"/>
      <c r="L377" s="1"/>
      <c r="M377" s="1"/>
      <c r="N377" s="1"/>
      <c r="O377" s="1"/>
      <c r="P377" s="1"/>
      <c r="Q377" s="1"/>
      <c r="R377" s="1"/>
      <c r="S377" s="1"/>
      <c r="Z377" s="24" t="n">
        <f aca="false">IF($AB377="",0,IF(ISNUMBER($B377),IF(AND($B377&gt;=N($B$3),OR(NOT(ISNUMBER($D$3)),$B377&lt;=$D$3)),1,0),1))</f>
        <v>0</v>
      </c>
      <c r="AA377" s="24" t="n">
        <f aca="false">$AA376*(1+IF($Z377=1,N($G377),0))</f>
        <v>1.0035</v>
      </c>
      <c r="AB377" s="0" t="str">
        <f aca="false">IF($F377="","",IFERROR(INDEX(Cilësimet!$B$6:$B$10,MATCH($F377,Cilësimet!$A$6:$A$10,0)),""))</f>
        <v/>
      </c>
    </row>
    <row r="378" customFormat="false" ht="18.75" hidden="false" customHeight="true" outlineLevel="0" collapsed="false">
      <c r="A378" s="1"/>
      <c r="B378" s="17"/>
      <c r="C378" s="18"/>
      <c r="D378" s="18"/>
      <c r="E378" s="19"/>
      <c r="F378" s="20"/>
      <c r="G378" s="21" t="str">
        <f aca="false">IF($AB378="","",Cilësimet!$C$3*(INDEX(Cilësimet!$C$6:$C$10,MATCH($F378,Cilësimet!$A$6:$A$10,0))*N($E378)+INDEX(Cilësimet!$D$6:$D$10,MATCH($F378,Cilësimet!$A$6:$A$10,0))))</f>
        <v/>
      </c>
      <c r="H378" s="22" t="str">
        <f aca="false">IF($Z378=1,$AA378-1,"")</f>
        <v/>
      </c>
      <c r="I378" s="23"/>
      <c r="J378" s="1"/>
      <c r="K378" s="1"/>
      <c r="L378" s="1"/>
      <c r="M378" s="1"/>
      <c r="N378" s="1"/>
      <c r="O378" s="1"/>
      <c r="P378" s="1"/>
      <c r="Q378" s="1"/>
      <c r="R378" s="1"/>
      <c r="S378" s="1"/>
      <c r="Z378" s="24" t="n">
        <f aca="false">IF($AB378="",0,IF(ISNUMBER($B378),IF(AND($B378&gt;=N($B$3),OR(NOT(ISNUMBER($D$3)),$B378&lt;=$D$3)),1,0),1))</f>
        <v>0</v>
      </c>
      <c r="AA378" s="24" t="n">
        <f aca="false">$AA377*(1+IF($Z378=1,N($G378),0))</f>
        <v>1.0035</v>
      </c>
      <c r="AB378" s="0" t="str">
        <f aca="false">IF($F378="","",IFERROR(INDEX(Cilësimet!$B$6:$B$10,MATCH($F378,Cilësimet!$A$6:$A$10,0)),""))</f>
        <v/>
      </c>
    </row>
    <row r="379" customFormat="false" ht="18.75" hidden="false" customHeight="true" outlineLevel="0" collapsed="false">
      <c r="A379" s="1"/>
      <c r="B379" s="17"/>
      <c r="C379" s="18"/>
      <c r="D379" s="18"/>
      <c r="E379" s="19"/>
      <c r="F379" s="20"/>
      <c r="G379" s="21" t="str">
        <f aca="false">IF($AB379="","",Cilësimet!$C$3*(INDEX(Cilësimet!$C$6:$C$10,MATCH($F379,Cilësimet!$A$6:$A$10,0))*N($E379)+INDEX(Cilësimet!$D$6:$D$10,MATCH($F379,Cilësimet!$A$6:$A$10,0))))</f>
        <v/>
      </c>
      <c r="H379" s="22" t="str">
        <f aca="false">IF($Z379=1,$AA379-1,"")</f>
        <v/>
      </c>
      <c r="I379" s="23"/>
      <c r="J379" s="1"/>
      <c r="K379" s="1"/>
      <c r="L379" s="1"/>
      <c r="M379" s="1"/>
      <c r="N379" s="1"/>
      <c r="O379" s="1"/>
      <c r="P379" s="1"/>
      <c r="Q379" s="1"/>
      <c r="R379" s="1"/>
      <c r="S379" s="1"/>
      <c r="Z379" s="24" t="n">
        <f aca="false">IF($AB379="",0,IF(ISNUMBER($B379),IF(AND($B379&gt;=N($B$3),OR(NOT(ISNUMBER($D$3)),$B379&lt;=$D$3)),1,0),1))</f>
        <v>0</v>
      </c>
      <c r="AA379" s="24" t="n">
        <f aca="false">$AA378*(1+IF($Z379=1,N($G379),0))</f>
        <v>1.0035</v>
      </c>
      <c r="AB379" s="0" t="str">
        <f aca="false">IF($F379="","",IFERROR(INDEX(Cilësimet!$B$6:$B$10,MATCH($F379,Cilësimet!$A$6:$A$10,0)),""))</f>
        <v/>
      </c>
    </row>
    <row r="380" customFormat="false" ht="18.75" hidden="false" customHeight="true" outlineLevel="0" collapsed="false">
      <c r="A380" s="1"/>
      <c r="B380" s="17"/>
      <c r="C380" s="18"/>
      <c r="D380" s="18"/>
      <c r="E380" s="19"/>
      <c r="F380" s="20"/>
      <c r="G380" s="21" t="str">
        <f aca="false">IF($AB380="","",Cilësimet!$C$3*(INDEX(Cilësimet!$C$6:$C$10,MATCH($F380,Cilësimet!$A$6:$A$10,0))*N($E380)+INDEX(Cilësimet!$D$6:$D$10,MATCH($F380,Cilësimet!$A$6:$A$10,0))))</f>
        <v/>
      </c>
      <c r="H380" s="22" t="str">
        <f aca="false">IF($Z380=1,$AA380-1,"")</f>
        <v/>
      </c>
      <c r="I380" s="23"/>
      <c r="J380" s="1"/>
      <c r="K380" s="1"/>
      <c r="L380" s="1"/>
      <c r="M380" s="1"/>
      <c r="N380" s="1"/>
      <c r="O380" s="1"/>
      <c r="P380" s="1"/>
      <c r="Q380" s="1"/>
      <c r="R380" s="1"/>
      <c r="S380" s="1"/>
      <c r="Z380" s="24" t="n">
        <f aca="false">IF($AB380="",0,IF(ISNUMBER($B380),IF(AND($B380&gt;=N($B$3),OR(NOT(ISNUMBER($D$3)),$B380&lt;=$D$3)),1,0),1))</f>
        <v>0</v>
      </c>
      <c r="AA380" s="24" t="n">
        <f aca="false">$AA379*(1+IF($Z380=1,N($G380),0))</f>
        <v>1.0035</v>
      </c>
      <c r="AB380" s="0" t="str">
        <f aca="false">IF($F380="","",IFERROR(INDEX(Cilësimet!$B$6:$B$10,MATCH($F380,Cilësimet!$A$6:$A$10,0)),""))</f>
        <v/>
      </c>
    </row>
    <row r="381" customFormat="false" ht="18.75" hidden="false" customHeight="true" outlineLevel="0" collapsed="false">
      <c r="A381" s="1"/>
      <c r="B381" s="17"/>
      <c r="C381" s="18"/>
      <c r="D381" s="18"/>
      <c r="E381" s="19"/>
      <c r="F381" s="20"/>
      <c r="G381" s="21" t="str">
        <f aca="false">IF($AB381="","",Cilësimet!$C$3*(INDEX(Cilësimet!$C$6:$C$10,MATCH($F381,Cilësimet!$A$6:$A$10,0))*N($E381)+INDEX(Cilësimet!$D$6:$D$10,MATCH($F381,Cilësimet!$A$6:$A$10,0))))</f>
        <v/>
      </c>
      <c r="H381" s="22" t="str">
        <f aca="false">IF($Z381=1,$AA381-1,"")</f>
        <v/>
      </c>
      <c r="I381" s="23"/>
      <c r="J381" s="1"/>
      <c r="K381" s="1"/>
      <c r="L381" s="1"/>
      <c r="M381" s="1"/>
      <c r="N381" s="1"/>
      <c r="O381" s="1"/>
      <c r="P381" s="1"/>
      <c r="Q381" s="1"/>
      <c r="R381" s="1"/>
      <c r="S381" s="1"/>
      <c r="Z381" s="24" t="n">
        <f aca="false">IF($AB381="",0,IF(ISNUMBER($B381),IF(AND($B381&gt;=N($B$3),OR(NOT(ISNUMBER($D$3)),$B381&lt;=$D$3)),1,0),1))</f>
        <v>0</v>
      </c>
      <c r="AA381" s="24" t="n">
        <f aca="false">$AA380*(1+IF($Z381=1,N($G381),0))</f>
        <v>1.0035</v>
      </c>
      <c r="AB381" s="0" t="str">
        <f aca="false">IF($F381="","",IFERROR(INDEX(Cilësimet!$B$6:$B$10,MATCH($F381,Cilësimet!$A$6:$A$10,0)),""))</f>
        <v/>
      </c>
    </row>
    <row r="382" customFormat="false" ht="18.75" hidden="false" customHeight="true" outlineLevel="0" collapsed="false">
      <c r="A382" s="1"/>
      <c r="B382" s="17"/>
      <c r="C382" s="18"/>
      <c r="D382" s="18"/>
      <c r="E382" s="19"/>
      <c r="F382" s="20"/>
      <c r="G382" s="21" t="str">
        <f aca="false">IF($AB382="","",Cilësimet!$C$3*(INDEX(Cilësimet!$C$6:$C$10,MATCH($F382,Cilësimet!$A$6:$A$10,0))*N($E382)+INDEX(Cilësimet!$D$6:$D$10,MATCH($F382,Cilësimet!$A$6:$A$10,0))))</f>
        <v/>
      </c>
      <c r="H382" s="22" t="str">
        <f aca="false">IF($Z382=1,$AA382-1,"")</f>
        <v/>
      </c>
      <c r="I382" s="23"/>
      <c r="J382" s="1"/>
      <c r="K382" s="1"/>
      <c r="L382" s="1"/>
      <c r="M382" s="1"/>
      <c r="N382" s="1"/>
      <c r="O382" s="1"/>
      <c r="P382" s="1"/>
      <c r="Q382" s="1"/>
      <c r="R382" s="1"/>
      <c r="S382" s="1"/>
      <c r="Z382" s="24" t="n">
        <f aca="false">IF($AB382="",0,IF(ISNUMBER($B382),IF(AND($B382&gt;=N($B$3),OR(NOT(ISNUMBER($D$3)),$B382&lt;=$D$3)),1,0),1))</f>
        <v>0</v>
      </c>
      <c r="AA382" s="24" t="n">
        <f aca="false">$AA381*(1+IF($Z382=1,N($G382),0))</f>
        <v>1.0035</v>
      </c>
      <c r="AB382" s="0" t="str">
        <f aca="false">IF($F382="","",IFERROR(INDEX(Cilësimet!$B$6:$B$10,MATCH($F382,Cilësimet!$A$6:$A$10,0)),""))</f>
        <v/>
      </c>
    </row>
    <row r="383" customFormat="false" ht="18.75" hidden="false" customHeight="true" outlineLevel="0" collapsed="false">
      <c r="A383" s="1"/>
      <c r="B383" s="17"/>
      <c r="C383" s="18"/>
      <c r="D383" s="18"/>
      <c r="E383" s="19"/>
      <c r="F383" s="20"/>
      <c r="G383" s="21" t="str">
        <f aca="false">IF($AB383="","",Cilësimet!$C$3*(INDEX(Cilësimet!$C$6:$C$10,MATCH($F383,Cilësimet!$A$6:$A$10,0))*N($E383)+INDEX(Cilësimet!$D$6:$D$10,MATCH($F383,Cilësimet!$A$6:$A$10,0))))</f>
        <v/>
      </c>
      <c r="H383" s="22" t="str">
        <f aca="false">IF($Z383=1,$AA383-1,"")</f>
        <v/>
      </c>
      <c r="I383" s="23"/>
      <c r="J383" s="1"/>
      <c r="K383" s="1"/>
      <c r="L383" s="1"/>
      <c r="M383" s="1"/>
      <c r="N383" s="1"/>
      <c r="O383" s="1"/>
      <c r="P383" s="1"/>
      <c r="Q383" s="1"/>
      <c r="R383" s="1"/>
      <c r="S383" s="1"/>
      <c r="Z383" s="24" t="n">
        <f aca="false">IF($AB383="",0,IF(ISNUMBER($B383),IF(AND($B383&gt;=N($B$3),OR(NOT(ISNUMBER($D$3)),$B383&lt;=$D$3)),1,0),1))</f>
        <v>0</v>
      </c>
      <c r="AA383" s="24" t="n">
        <f aca="false">$AA382*(1+IF($Z383=1,N($G383),0))</f>
        <v>1.0035</v>
      </c>
      <c r="AB383" s="0" t="str">
        <f aca="false">IF($F383="","",IFERROR(INDEX(Cilësimet!$B$6:$B$10,MATCH($F383,Cilësimet!$A$6:$A$10,0)),""))</f>
        <v/>
      </c>
    </row>
    <row r="384" customFormat="false" ht="18.75" hidden="false" customHeight="true" outlineLevel="0" collapsed="false">
      <c r="A384" s="1"/>
      <c r="B384" s="17"/>
      <c r="C384" s="18"/>
      <c r="D384" s="18"/>
      <c r="E384" s="19"/>
      <c r="F384" s="20"/>
      <c r="G384" s="21" t="str">
        <f aca="false">IF($AB384="","",Cilësimet!$C$3*(INDEX(Cilësimet!$C$6:$C$10,MATCH($F384,Cilësimet!$A$6:$A$10,0))*N($E384)+INDEX(Cilësimet!$D$6:$D$10,MATCH($F384,Cilësimet!$A$6:$A$10,0))))</f>
        <v/>
      </c>
      <c r="H384" s="22" t="str">
        <f aca="false">IF($Z384=1,$AA384-1,"")</f>
        <v/>
      </c>
      <c r="I384" s="23"/>
      <c r="J384" s="1"/>
      <c r="K384" s="1"/>
      <c r="L384" s="1"/>
      <c r="M384" s="1"/>
      <c r="N384" s="1"/>
      <c r="O384" s="1"/>
      <c r="P384" s="1"/>
      <c r="Q384" s="1"/>
      <c r="R384" s="1"/>
      <c r="S384" s="1"/>
      <c r="Z384" s="24" t="n">
        <f aca="false">IF($AB384="",0,IF(ISNUMBER($B384),IF(AND($B384&gt;=N($B$3),OR(NOT(ISNUMBER($D$3)),$B384&lt;=$D$3)),1,0),1))</f>
        <v>0</v>
      </c>
      <c r="AA384" s="24" t="n">
        <f aca="false">$AA383*(1+IF($Z384=1,N($G384),0))</f>
        <v>1.0035</v>
      </c>
      <c r="AB384" s="0" t="str">
        <f aca="false">IF($F384="","",IFERROR(INDEX(Cilësimet!$B$6:$B$10,MATCH($F384,Cilësimet!$A$6:$A$10,0)),""))</f>
        <v/>
      </c>
    </row>
    <row r="385" customFormat="false" ht="18.75" hidden="false" customHeight="true" outlineLevel="0" collapsed="false">
      <c r="A385" s="1"/>
      <c r="B385" s="17"/>
      <c r="C385" s="18"/>
      <c r="D385" s="18"/>
      <c r="E385" s="19"/>
      <c r="F385" s="20"/>
      <c r="G385" s="21" t="str">
        <f aca="false">IF($AB385="","",Cilësimet!$C$3*(INDEX(Cilësimet!$C$6:$C$10,MATCH($F385,Cilësimet!$A$6:$A$10,0))*N($E385)+INDEX(Cilësimet!$D$6:$D$10,MATCH($F385,Cilësimet!$A$6:$A$10,0))))</f>
        <v/>
      </c>
      <c r="H385" s="22" t="str">
        <f aca="false">IF($Z385=1,$AA385-1,"")</f>
        <v/>
      </c>
      <c r="I385" s="23"/>
      <c r="J385" s="1"/>
      <c r="K385" s="1"/>
      <c r="L385" s="1"/>
      <c r="M385" s="1"/>
      <c r="N385" s="1"/>
      <c r="O385" s="1"/>
      <c r="P385" s="1"/>
      <c r="Q385" s="1"/>
      <c r="R385" s="1"/>
      <c r="S385" s="1"/>
      <c r="Z385" s="24" t="n">
        <f aca="false">IF($AB385="",0,IF(ISNUMBER($B385),IF(AND($B385&gt;=N($B$3),OR(NOT(ISNUMBER($D$3)),$B385&lt;=$D$3)),1,0),1))</f>
        <v>0</v>
      </c>
      <c r="AA385" s="24" t="n">
        <f aca="false">$AA384*(1+IF($Z385=1,N($G385),0))</f>
        <v>1.0035</v>
      </c>
      <c r="AB385" s="0" t="str">
        <f aca="false">IF($F385="","",IFERROR(INDEX(Cilësimet!$B$6:$B$10,MATCH($F385,Cilësimet!$A$6:$A$10,0)),""))</f>
        <v/>
      </c>
    </row>
    <row r="386" customFormat="false" ht="18.75" hidden="false" customHeight="true" outlineLevel="0" collapsed="false">
      <c r="A386" s="1"/>
      <c r="B386" s="17"/>
      <c r="C386" s="18"/>
      <c r="D386" s="18"/>
      <c r="E386" s="19"/>
      <c r="F386" s="20"/>
      <c r="G386" s="21" t="str">
        <f aca="false">IF($AB386="","",Cilësimet!$C$3*(INDEX(Cilësimet!$C$6:$C$10,MATCH($F386,Cilësimet!$A$6:$A$10,0))*N($E386)+INDEX(Cilësimet!$D$6:$D$10,MATCH($F386,Cilësimet!$A$6:$A$10,0))))</f>
        <v/>
      </c>
      <c r="H386" s="22" t="str">
        <f aca="false">IF($Z386=1,$AA386-1,"")</f>
        <v/>
      </c>
      <c r="I386" s="23"/>
      <c r="J386" s="1"/>
      <c r="K386" s="1"/>
      <c r="L386" s="1"/>
      <c r="M386" s="1"/>
      <c r="N386" s="1"/>
      <c r="O386" s="1"/>
      <c r="P386" s="1"/>
      <c r="Q386" s="1"/>
      <c r="R386" s="1"/>
      <c r="S386" s="1"/>
      <c r="Z386" s="24" t="n">
        <f aca="false">IF($AB386="",0,IF(ISNUMBER($B386),IF(AND($B386&gt;=N($B$3),OR(NOT(ISNUMBER($D$3)),$B386&lt;=$D$3)),1,0),1))</f>
        <v>0</v>
      </c>
      <c r="AA386" s="24" t="n">
        <f aca="false">$AA385*(1+IF($Z386=1,N($G386),0))</f>
        <v>1.0035</v>
      </c>
      <c r="AB386" s="0" t="str">
        <f aca="false">IF($F386="","",IFERROR(INDEX(Cilësimet!$B$6:$B$10,MATCH($F386,Cilësimet!$A$6:$A$10,0)),""))</f>
        <v/>
      </c>
    </row>
    <row r="387" customFormat="false" ht="18.75" hidden="false" customHeight="true" outlineLevel="0" collapsed="false">
      <c r="A387" s="1"/>
      <c r="B387" s="17"/>
      <c r="C387" s="18"/>
      <c r="D387" s="18"/>
      <c r="E387" s="19"/>
      <c r="F387" s="20"/>
      <c r="G387" s="21" t="str">
        <f aca="false">IF($AB387="","",Cilësimet!$C$3*(INDEX(Cilësimet!$C$6:$C$10,MATCH($F387,Cilësimet!$A$6:$A$10,0))*N($E387)+INDEX(Cilësimet!$D$6:$D$10,MATCH($F387,Cilësimet!$A$6:$A$10,0))))</f>
        <v/>
      </c>
      <c r="H387" s="22" t="str">
        <f aca="false">IF($Z387=1,$AA387-1,"")</f>
        <v/>
      </c>
      <c r="I387" s="23"/>
      <c r="J387" s="1"/>
      <c r="K387" s="1"/>
      <c r="L387" s="1"/>
      <c r="M387" s="1"/>
      <c r="N387" s="1"/>
      <c r="O387" s="1"/>
      <c r="P387" s="1"/>
      <c r="Q387" s="1"/>
      <c r="R387" s="1"/>
      <c r="S387" s="1"/>
      <c r="Z387" s="24" t="n">
        <f aca="false">IF($AB387="",0,IF(ISNUMBER($B387),IF(AND($B387&gt;=N($B$3),OR(NOT(ISNUMBER($D$3)),$B387&lt;=$D$3)),1,0),1))</f>
        <v>0</v>
      </c>
      <c r="AA387" s="24" t="n">
        <f aca="false">$AA386*(1+IF($Z387=1,N($G387),0))</f>
        <v>1.0035</v>
      </c>
      <c r="AB387" s="0" t="str">
        <f aca="false">IF($F387="","",IFERROR(INDEX(Cilësimet!$B$6:$B$10,MATCH($F387,Cilësimet!$A$6:$A$10,0)),""))</f>
        <v/>
      </c>
    </row>
    <row r="388" customFormat="false" ht="18.75" hidden="false" customHeight="true" outlineLevel="0" collapsed="false">
      <c r="A388" s="1"/>
      <c r="B388" s="17"/>
      <c r="C388" s="18"/>
      <c r="D388" s="18"/>
      <c r="E388" s="19"/>
      <c r="F388" s="20"/>
      <c r="G388" s="21" t="str">
        <f aca="false">IF($AB388="","",Cilësimet!$C$3*(INDEX(Cilësimet!$C$6:$C$10,MATCH($F388,Cilësimet!$A$6:$A$10,0))*N($E388)+INDEX(Cilësimet!$D$6:$D$10,MATCH($F388,Cilësimet!$A$6:$A$10,0))))</f>
        <v/>
      </c>
      <c r="H388" s="22" t="str">
        <f aca="false">IF($Z388=1,$AA388-1,"")</f>
        <v/>
      </c>
      <c r="I388" s="23"/>
      <c r="J388" s="1"/>
      <c r="K388" s="1"/>
      <c r="L388" s="1"/>
      <c r="M388" s="1"/>
      <c r="N388" s="1"/>
      <c r="O388" s="1"/>
      <c r="P388" s="1"/>
      <c r="Q388" s="1"/>
      <c r="R388" s="1"/>
      <c r="S388" s="1"/>
      <c r="Z388" s="24" t="n">
        <f aca="false">IF($AB388="",0,IF(ISNUMBER($B388),IF(AND($B388&gt;=N($B$3),OR(NOT(ISNUMBER($D$3)),$B388&lt;=$D$3)),1,0),1))</f>
        <v>0</v>
      </c>
      <c r="AA388" s="24" t="n">
        <f aca="false">$AA387*(1+IF($Z388=1,N($G388),0))</f>
        <v>1.0035</v>
      </c>
      <c r="AB388" s="0" t="str">
        <f aca="false">IF($F388="","",IFERROR(INDEX(Cilësimet!$B$6:$B$10,MATCH($F388,Cilësimet!$A$6:$A$10,0)),""))</f>
        <v/>
      </c>
    </row>
    <row r="389" customFormat="false" ht="18.75" hidden="false" customHeight="true" outlineLevel="0" collapsed="false">
      <c r="A389" s="1"/>
      <c r="B389" s="17"/>
      <c r="C389" s="18"/>
      <c r="D389" s="18"/>
      <c r="E389" s="19"/>
      <c r="F389" s="20"/>
      <c r="G389" s="21" t="str">
        <f aca="false">IF($AB389="","",Cilësimet!$C$3*(INDEX(Cilësimet!$C$6:$C$10,MATCH($F389,Cilësimet!$A$6:$A$10,0))*N($E389)+INDEX(Cilësimet!$D$6:$D$10,MATCH($F389,Cilësimet!$A$6:$A$10,0))))</f>
        <v/>
      </c>
      <c r="H389" s="22" t="str">
        <f aca="false">IF($Z389=1,$AA389-1,"")</f>
        <v/>
      </c>
      <c r="I389" s="23"/>
      <c r="J389" s="1"/>
      <c r="K389" s="1"/>
      <c r="L389" s="1"/>
      <c r="M389" s="1"/>
      <c r="N389" s="1"/>
      <c r="O389" s="1"/>
      <c r="P389" s="1"/>
      <c r="Q389" s="1"/>
      <c r="R389" s="1"/>
      <c r="S389" s="1"/>
      <c r="Z389" s="24" t="n">
        <f aca="false">IF($AB389="",0,IF(ISNUMBER($B389),IF(AND($B389&gt;=N($B$3),OR(NOT(ISNUMBER($D$3)),$B389&lt;=$D$3)),1,0),1))</f>
        <v>0</v>
      </c>
      <c r="AA389" s="24" t="n">
        <f aca="false">$AA388*(1+IF($Z389=1,N($G389),0))</f>
        <v>1.0035</v>
      </c>
      <c r="AB389" s="0" t="str">
        <f aca="false">IF($F389="","",IFERROR(INDEX(Cilësimet!$B$6:$B$10,MATCH($F389,Cilësimet!$A$6:$A$10,0)),""))</f>
        <v/>
      </c>
    </row>
    <row r="390" customFormat="false" ht="18.75" hidden="false" customHeight="true" outlineLevel="0" collapsed="false">
      <c r="A390" s="1"/>
      <c r="B390" s="17"/>
      <c r="C390" s="18"/>
      <c r="D390" s="18"/>
      <c r="E390" s="19"/>
      <c r="F390" s="20"/>
      <c r="G390" s="21" t="str">
        <f aca="false">IF($AB390="","",Cilësimet!$C$3*(INDEX(Cilësimet!$C$6:$C$10,MATCH($F390,Cilësimet!$A$6:$A$10,0))*N($E390)+INDEX(Cilësimet!$D$6:$D$10,MATCH($F390,Cilësimet!$A$6:$A$10,0))))</f>
        <v/>
      </c>
      <c r="H390" s="22" t="str">
        <f aca="false">IF($Z390=1,$AA390-1,"")</f>
        <v/>
      </c>
      <c r="I390" s="23"/>
      <c r="J390" s="1"/>
      <c r="K390" s="1"/>
      <c r="L390" s="1"/>
      <c r="M390" s="1"/>
      <c r="N390" s="1"/>
      <c r="O390" s="1"/>
      <c r="P390" s="1"/>
      <c r="Q390" s="1"/>
      <c r="R390" s="1"/>
      <c r="S390" s="1"/>
      <c r="Z390" s="24" t="n">
        <f aca="false">IF($AB390="",0,IF(ISNUMBER($B390),IF(AND($B390&gt;=N($B$3),OR(NOT(ISNUMBER($D$3)),$B390&lt;=$D$3)),1,0),1))</f>
        <v>0</v>
      </c>
      <c r="AA390" s="24" t="n">
        <f aca="false">$AA389*(1+IF($Z390=1,N($G390),0))</f>
        <v>1.0035</v>
      </c>
      <c r="AB390" s="0" t="str">
        <f aca="false">IF($F390="","",IFERROR(INDEX(Cilësimet!$B$6:$B$10,MATCH($F390,Cilësimet!$A$6:$A$10,0)),""))</f>
        <v/>
      </c>
    </row>
    <row r="391" customFormat="false" ht="18.75" hidden="false" customHeight="true" outlineLevel="0" collapsed="false">
      <c r="A391" s="1"/>
      <c r="B391" s="17"/>
      <c r="C391" s="18"/>
      <c r="D391" s="18"/>
      <c r="E391" s="19"/>
      <c r="F391" s="20"/>
      <c r="G391" s="21" t="str">
        <f aca="false">IF($AB391="","",Cilësimet!$C$3*(INDEX(Cilësimet!$C$6:$C$10,MATCH($F391,Cilësimet!$A$6:$A$10,0))*N($E391)+INDEX(Cilësimet!$D$6:$D$10,MATCH($F391,Cilësimet!$A$6:$A$10,0))))</f>
        <v/>
      </c>
      <c r="H391" s="22" t="str">
        <f aca="false">IF($Z391=1,$AA391-1,"")</f>
        <v/>
      </c>
      <c r="I391" s="23"/>
      <c r="J391" s="1"/>
      <c r="K391" s="1"/>
      <c r="L391" s="1"/>
      <c r="M391" s="1"/>
      <c r="N391" s="1"/>
      <c r="O391" s="1"/>
      <c r="P391" s="1"/>
      <c r="Q391" s="1"/>
      <c r="R391" s="1"/>
      <c r="S391" s="1"/>
      <c r="Z391" s="24" t="n">
        <f aca="false">IF($AB391="",0,IF(ISNUMBER($B391),IF(AND($B391&gt;=N($B$3),OR(NOT(ISNUMBER($D$3)),$B391&lt;=$D$3)),1,0),1))</f>
        <v>0</v>
      </c>
      <c r="AA391" s="24" t="n">
        <f aca="false">$AA390*(1+IF($Z391=1,N($G391),0))</f>
        <v>1.0035</v>
      </c>
      <c r="AB391" s="0" t="str">
        <f aca="false">IF($F391="","",IFERROR(INDEX(Cilësimet!$B$6:$B$10,MATCH($F391,Cilësimet!$A$6:$A$10,0)),""))</f>
        <v/>
      </c>
    </row>
    <row r="392" customFormat="false" ht="18.75" hidden="false" customHeight="true" outlineLevel="0" collapsed="false">
      <c r="A392" s="1"/>
      <c r="B392" s="17"/>
      <c r="C392" s="18"/>
      <c r="D392" s="18"/>
      <c r="E392" s="19"/>
      <c r="F392" s="20"/>
      <c r="G392" s="21" t="str">
        <f aca="false">IF($AB392="","",Cilësimet!$C$3*(INDEX(Cilësimet!$C$6:$C$10,MATCH($F392,Cilësimet!$A$6:$A$10,0))*N($E392)+INDEX(Cilësimet!$D$6:$D$10,MATCH($F392,Cilësimet!$A$6:$A$10,0))))</f>
        <v/>
      </c>
      <c r="H392" s="22" t="str">
        <f aca="false">IF($Z392=1,$AA392-1,"")</f>
        <v/>
      </c>
      <c r="I392" s="23"/>
      <c r="J392" s="1"/>
      <c r="K392" s="1"/>
      <c r="L392" s="1"/>
      <c r="M392" s="1"/>
      <c r="N392" s="1"/>
      <c r="O392" s="1"/>
      <c r="P392" s="1"/>
      <c r="Q392" s="1"/>
      <c r="R392" s="1"/>
      <c r="S392" s="1"/>
      <c r="Z392" s="24" t="n">
        <f aca="false">IF($AB392="",0,IF(ISNUMBER($B392),IF(AND($B392&gt;=N($B$3),OR(NOT(ISNUMBER($D$3)),$B392&lt;=$D$3)),1,0),1))</f>
        <v>0</v>
      </c>
      <c r="AA392" s="24" t="n">
        <f aca="false">$AA391*(1+IF($Z392=1,N($G392),0))</f>
        <v>1.0035</v>
      </c>
      <c r="AB392" s="0" t="str">
        <f aca="false">IF($F392="","",IFERROR(INDEX(Cilësimet!$B$6:$B$10,MATCH($F392,Cilësimet!$A$6:$A$10,0)),""))</f>
        <v/>
      </c>
    </row>
    <row r="393" customFormat="false" ht="18.75" hidden="false" customHeight="true" outlineLevel="0" collapsed="false">
      <c r="A393" s="1"/>
      <c r="B393" s="17"/>
      <c r="C393" s="18"/>
      <c r="D393" s="18"/>
      <c r="E393" s="19"/>
      <c r="F393" s="20"/>
      <c r="G393" s="21" t="str">
        <f aca="false">IF($AB393="","",Cilësimet!$C$3*(INDEX(Cilësimet!$C$6:$C$10,MATCH($F393,Cilësimet!$A$6:$A$10,0))*N($E393)+INDEX(Cilësimet!$D$6:$D$10,MATCH($F393,Cilësimet!$A$6:$A$10,0))))</f>
        <v/>
      </c>
      <c r="H393" s="22" t="str">
        <f aca="false">IF($Z393=1,$AA393-1,"")</f>
        <v/>
      </c>
      <c r="I393" s="23"/>
      <c r="J393" s="1"/>
      <c r="K393" s="1"/>
      <c r="L393" s="1"/>
      <c r="M393" s="1"/>
      <c r="N393" s="1"/>
      <c r="O393" s="1"/>
      <c r="P393" s="1"/>
      <c r="Q393" s="1"/>
      <c r="R393" s="1"/>
      <c r="S393" s="1"/>
      <c r="Z393" s="24" t="n">
        <f aca="false">IF($AB393="",0,IF(ISNUMBER($B393),IF(AND($B393&gt;=N($B$3),OR(NOT(ISNUMBER($D$3)),$B393&lt;=$D$3)),1,0),1))</f>
        <v>0</v>
      </c>
      <c r="AA393" s="24" t="n">
        <f aca="false">$AA392*(1+IF($Z393=1,N($G393),0))</f>
        <v>1.0035</v>
      </c>
      <c r="AB393" s="0" t="str">
        <f aca="false">IF($F393="","",IFERROR(INDEX(Cilësimet!$B$6:$B$10,MATCH($F393,Cilësimet!$A$6:$A$10,0)),""))</f>
        <v/>
      </c>
    </row>
    <row r="394" customFormat="false" ht="18.75" hidden="false" customHeight="true" outlineLevel="0" collapsed="false">
      <c r="A394" s="1"/>
      <c r="B394" s="17"/>
      <c r="C394" s="18"/>
      <c r="D394" s="18"/>
      <c r="E394" s="19"/>
      <c r="F394" s="20"/>
      <c r="G394" s="21" t="str">
        <f aca="false">IF($AB394="","",Cilësimet!$C$3*(INDEX(Cilësimet!$C$6:$C$10,MATCH($F394,Cilësimet!$A$6:$A$10,0))*N($E394)+INDEX(Cilësimet!$D$6:$D$10,MATCH($F394,Cilësimet!$A$6:$A$10,0))))</f>
        <v/>
      </c>
      <c r="H394" s="22" t="str">
        <f aca="false">IF($Z394=1,$AA394-1,"")</f>
        <v/>
      </c>
      <c r="I394" s="23"/>
      <c r="J394" s="1"/>
      <c r="K394" s="1"/>
      <c r="L394" s="1"/>
      <c r="M394" s="1"/>
      <c r="N394" s="1"/>
      <c r="O394" s="1"/>
      <c r="P394" s="1"/>
      <c r="Q394" s="1"/>
      <c r="R394" s="1"/>
      <c r="S394" s="1"/>
      <c r="Z394" s="24" t="n">
        <f aca="false">IF($AB394="",0,IF(ISNUMBER($B394),IF(AND($B394&gt;=N($B$3),OR(NOT(ISNUMBER($D$3)),$B394&lt;=$D$3)),1,0),1))</f>
        <v>0</v>
      </c>
      <c r="AA394" s="24" t="n">
        <f aca="false">$AA393*(1+IF($Z394=1,N($G394),0))</f>
        <v>1.0035</v>
      </c>
      <c r="AB394" s="0" t="str">
        <f aca="false">IF($F394="","",IFERROR(INDEX(Cilësimet!$B$6:$B$10,MATCH($F394,Cilësimet!$A$6:$A$10,0)),""))</f>
        <v/>
      </c>
    </row>
    <row r="395" customFormat="false" ht="18.75" hidden="false" customHeight="true" outlineLevel="0" collapsed="false">
      <c r="A395" s="1"/>
      <c r="B395" s="17"/>
      <c r="C395" s="18"/>
      <c r="D395" s="18"/>
      <c r="E395" s="19"/>
      <c r="F395" s="20"/>
      <c r="G395" s="21" t="str">
        <f aca="false">IF($AB395="","",Cilësimet!$C$3*(INDEX(Cilësimet!$C$6:$C$10,MATCH($F395,Cilësimet!$A$6:$A$10,0))*N($E395)+INDEX(Cilësimet!$D$6:$D$10,MATCH($F395,Cilësimet!$A$6:$A$10,0))))</f>
        <v/>
      </c>
      <c r="H395" s="22" t="str">
        <f aca="false">IF($Z395=1,$AA395-1,"")</f>
        <v/>
      </c>
      <c r="I395" s="23"/>
      <c r="J395" s="1"/>
      <c r="K395" s="1"/>
      <c r="L395" s="1"/>
      <c r="M395" s="1"/>
      <c r="N395" s="1"/>
      <c r="O395" s="1"/>
      <c r="P395" s="1"/>
      <c r="Q395" s="1"/>
      <c r="R395" s="1"/>
      <c r="S395" s="1"/>
      <c r="Z395" s="24" t="n">
        <f aca="false">IF($AB395="",0,IF(ISNUMBER($B395),IF(AND($B395&gt;=N($B$3),OR(NOT(ISNUMBER($D$3)),$B395&lt;=$D$3)),1,0),1))</f>
        <v>0</v>
      </c>
      <c r="AA395" s="24" t="n">
        <f aca="false">$AA394*(1+IF($Z395=1,N($G395),0))</f>
        <v>1.0035</v>
      </c>
      <c r="AB395" s="0" t="str">
        <f aca="false">IF($F395="","",IFERROR(INDEX(Cilësimet!$B$6:$B$10,MATCH($F395,Cilësimet!$A$6:$A$10,0)),""))</f>
        <v/>
      </c>
    </row>
    <row r="396" customFormat="false" ht="18.75" hidden="false" customHeight="true" outlineLevel="0" collapsed="false">
      <c r="A396" s="1"/>
      <c r="B396" s="17"/>
      <c r="C396" s="18"/>
      <c r="D396" s="18"/>
      <c r="E396" s="19"/>
      <c r="F396" s="20"/>
      <c r="G396" s="21" t="str">
        <f aca="false">IF($AB396="","",Cilësimet!$C$3*(INDEX(Cilësimet!$C$6:$C$10,MATCH($F396,Cilësimet!$A$6:$A$10,0))*N($E396)+INDEX(Cilësimet!$D$6:$D$10,MATCH($F396,Cilësimet!$A$6:$A$10,0))))</f>
        <v/>
      </c>
      <c r="H396" s="22" t="str">
        <f aca="false">IF($Z396=1,$AA396-1,"")</f>
        <v/>
      </c>
      <c r="I396" s="23"/>
      <c r="J396" s="1"/>
      <c r="K396" s="1"/>
      <c r="L396" s="1"/>
      <c r="M396" s="1"/>
      <c r="N396" s="1"/>
      <c r="O396" s="1"/>
      <c r="P396" s="1"/>
      <c r="Q396" s="1"/>
      <c r="R396" s="1"/>
      <c r="S396" s="1"/>
      <c r="Z396" s="24" t="n">
        <f aca="false">IF($AB396="",0,IF(ISNUMBER($B396),IF(AND($B396&gt;=N($B$3),OR(NOT(ISNUMBER($D$3)),$B396&lt;=$D$3)),1,0),1))</f>
        <v>0</v>
      </c>
      <c r="AA396" s="24" t="n">
        <f aca="false">$AA395*(1+IF($Z396=1,N($G396),0))</f>
        <v>1.0035</v>
      </c>
      <c r="AB396" s="0" t="str">
        <f aca="false">IF($F396="","",IFERROR(INDEX(Cilësimet!$B$6:$B$10,MATCH($F396,Cilësimet!$A$6:$A$10,0)),""))</f>
        <v/>
      </c>
    </row>
    <row r="397" customFormat="false" ht="18.75" hidden="false" customHeight="true" outlineLevel="0" collapsed="false">
      <c r="A397" s="1"/>
      <c r="B397" s="17"/>
      <c r="C397" s="18"/>
      <c r="D397" s="18"/>
      <c r="E397" s="19"/>
      <c r="F397" s="20"/>
      <c r="G397" s="21" t="str">
        <f aca="false">IF($AB397="","",Cilësimet!$C$3*(INDEX(Cilësimet!$C$6:$C$10,MATCH($F397,Cilësimet!$A$6:$A$10,0))*N($E397)+INDEX(Cilësimet!$D$6:$D$10,MATCH($F397,Cilësimet!$A$6:$A$10,0))))</f>
        <v/>
      </c>
      <c r="H397" s="22" t="str">
        <f aca="false">IF($Z397=1,$AA397-1,"")</f>
        <v/>
      </c>
      <c r="I397" s="23"/>
      <c r="J397" s="1"/>
      <c r="K397" s="1"/>
      <c r="L397" s="1"/>
      <c r="M397" s="1"/>
      <c r="N397" s="1"/>
      <c r="O397" s="1"/>
      <c r="P397" s="1"/>
      <c r="Q397" s="1"/>
      <c r="R397" s="1"/>
      <c r="S397" s="1"/>
      <c r="Z397" s="24" t="n">
        <f aca="false">IF($AB397="",0,IF(ISNUMBER($B397),IF(AND($B397&gt;=N($B$3),OR(NOT(ISNUMBER($D$3)),$B397&lt;=$D$3)),1,0),1))</f>
        <v>0</v>
      </c>
      <c r="AA397" s="24" t="n">
        <f aca="false">$AA396*(1+IF($Z397=1,N($G397),0))</f>
        <v>1.0035</v>
      </c>
      <c r="AB397" s="0" t="str">
        <f aca="false">IF($F397="","",IFERROR(INDEX(Cilësimet!$B$6:$B$10,MATCH($F397,Cilësimet!$A$6:$A$10,0)),""))</f>
        <v/>
      </c>
    </row>
    <row r="398" customFormat="false" ht="18.75" hidden="false" customHeight="true" outlineLevel="0" collapsed="false">
      <c r="A398" s="1"/>
      <c r="B398" s="17"/>
      <c r="C398" s="18"/>
      <c r="D398" s="18"/>
      <c r="E398" s="19"/>
      <c r="F398" s="20"/>
      <c r="G398" s="21" t="str">
        <f aca="false">IF($AB398="","",Cilësimet!$C$3*(INDEX(Cilësimet!$C$6:$C$10,MATCH($F398,Cilësimet!$A$6:$A$10,0))*N($E398)+INDEX(Cilësimet!$D$6:$D$10,MATCH($F398,Cilësimet!$A$6:$A$10,0))))</f>
        <v/>
      </c>
      <c r="H398" s="22" t="str">
        <f aca="false">IF($Z398=1,$AA398-1,"")</f>
        <v/>
      </c>
      <c r="I398" s="23"/>
      <c r="J398" s="1"/>
      <c r="K398" s="1"/>
      <c r="L398" s="1"/>
      <c r="M398" s="1"/>
      <c r="N398" s="1"/>
      <c r="O398" s="1"/>
      <c r="P398" s="1"/>
      <c r="Q398" s="1"/>
      <c r="R398" s="1"/>
      <c r="S398" s="1"/>
      <c r="Z398" s="24" t="n">
        <f aca="false">IF($AB398="",0,IF(ISNUMBER($B398),IF(AND($B398&gt;=N($B$3),OR(NOT(ISNUMBER($D$3)),$B398&lt;=$D$3)),1,0),1))</f>
        <v>0</v>
      </c>
      <c r="AA398" s="24" t="n">
        <f aca="false">$AA397*(1+IF($Z398=1,N($G398),0))</f>
        <v>1.0035</v>
      </c>
      <c r="AB398" s="0" t="str">
        <f aca="false">IF($F398="","",IFERROR(INDEX(Cilësimet!$B$6:$B$10,MATCH($F398,Cilësimet!$A$6:$A$10,0)),""))</f>
        <v/>
      </c>
    </row>
    <row r="399" customFormat="false" ht="18.75" hidden="false" customHeight="true" outlineLevel="0" collapsed="false">
      <c r="A399" s="1"/>
      <c r="B399" s="17"/>
      <c r="C399" s="18"/>
      <c r="D399" s="18"/>
      <c r="E399" s="19"/>
      <c r="F399" s="20"/>
      <c r="G399" s="21" t="str">
        <f aca="false">IF($AB399="","",Cilësimet!$C$3*(INDEX(Cilësimet!$C$6:$C$10,MATCH($F399,Cilësimet!$A$6:$A$10,0))*N($E399)+INDEX(Cilësimet!$D$6:$D$10,MATCH($F399,Cilësimet!$A$6:$A$10,0))))</f>
        <v/>
      </c>
      <c r="H399" s="22" t="str">
        <f aca="false">IF($Z399=1,$AA399-1,"")</f>
        <v/>
      </c>
      <c r="I399" s="23"/>
      <c r="J399" s="1"/>
      <c r="K399" s="1"/>
      <c r="L399" s="1"/>
      <c r="M399" s="1"/>
      <c r="N399" s="1"/>
      <c r="O399" s="1"/>
      <c r="P399" s="1"/>
      <c r="Q399" s="1"/>
      <c r="R399" s="1"/>
      <c r="S399" s="1"/>
      <c r="Z399" s="24" t="n">
        <f aca="false">IF($AB399="",0,IF(ISNUMBER($B399),IF(AND($B399&gt;=N($B$3),OR(NOT(ISNUMBER($D$3)),$B399&lt;=$D$3)),1,0),1))</f>
        <v>0</v>
      </c>
      <c r="AA399" s="24" t="n">
        <f aca="false">$AA398*(1+IF($Z399=1,N($G399),0))</f>
        <v>1.0035</v>
      </c>
      <c r="AB399" s="0" t="str">
        <f aca="false">IF($F399="","",IFERROR(INDEX(Cilësimet!$B$6:$B$10,MATCH($F399,Cilësimet!$A$6:$A$10,0)),""))</f>
        <v/>
      </c>
    </row>
    <row r="400" customFormat="false" ht="18.75" hidden="false" customHeight="true" outlineLevel="0" collapsed="false">
      <c r="A400" s="1"/>
      <c r="B400" s="17"/>
      <c r="C400" s="18"/>
      <c r="D400" s="18"/>
      <c r="E400" s="19"/>
      <c r="F400" s="20"/>
      <c r="G400" s="21" t="str">
        <f aca="false">IF($AB400="","",Cilësimet!$C$3*(INDEX(Cilësimet!$C$6:$C$10,MATCH($F400,Cilësimet!$A$6:$A$10,0))*N($E400)+INDEX(Cilësimet!$D$6:$D$10,MATCH($F400,Cilësimet!$A$6:$A$10,0))))</f>
        <v/>
      </c>
      <c r="H400" s="22" t="str">
        <f aca="false">IF($Z400=1,$AA400-1,"")</f>
        <v/>
      </c>
      <c r="I400" s="23"/>
      <c r="J400" s="1"/>
      <c r="K400" s="1"/>
      <c r="L400" s="1"/>
      <c r="M400" s="1"/>
      <c r="N400" s="1"/>
      <c r="O400" s="1"/>
      <c r="P400" s="1"/>
      <c r="Q400" s="1"/>
      <c r="R400" s="1"/>
      <c r="S400" s="1"/>
      <c r="Z400" s="24" t="n">
        <f aca="false">IF($AB400="",0,IF(ISNUMBER($B400),IF(AND($B400&gt;=N($B$3),OR(NOT(ISNUMBER($D$3)),$B400&lt;=$D$3)),1,0),1))</f>
        <v>0</v>
      </c>
      <c r="AA400" s="24" t="n">
        <f aca="false">$AA399*(1+IF($Z400=1,N($G400),0))</f>
        <v>1.0035</v>
      </c>
      <c r="AB400" s="0" t="str">
        <f aca="false">IF($F400="","",IFERROR(INDEX(Cilësimet!$B$6:$B$10,MATCH($F400,Cilësimet!$A$6:$A$10,0)),""))</f>
        <v/>
      </c>
    </row>
    <row r="401" customFormat="false" ht="18.75" hidden="false" customHeight="true" outlineLevel="0" collapsed="false">
      <c r="A401" s="1"/>
      <c r="B401" s="17"/>
      <c r="C401" s="18"/>
      <c r="D401" s="18"/>
      <c r="E401" s="19"/>
      <c r="F401" s="20"/>
      <c r="G401" s="21" t="str">
        <f aca="false">IF($AB401="","",Cilësimet!$C$3*(INDEX(Cilësimet!$C$6:$C$10,MATCH($F401,Cilësimet!$A$6:$A$10,0))*N($E401)+INDEX(Cilësimet!$D$6:$D$10,MATCH($F401,Cilësimet!$A$6:$A$10,0))))</f>
        <v/>
      </c>
      <c r="H401" s="22" t="str">
        <f aca="false">IF($Z401=1,$AA401-1,"")</f>
        <v/>
      </c>
      <c r="I401" s="23"/>
      <c r="J401" s="1"/>
      <c r="K401" s="1"/>
      <c r="L401" s="1"/>
      <c r="M401" s="1"/>
      <c r="N401" s="1"/>
      <c r="O401" s="1"/>
      <c r="P401" s="1"/>
      <c r="Q401" s="1"/>
      <c r="R401" s="1"/>
      <c r="S401" s="1"/>
      <c r="Z401" s="24" t="n">
        <f aca="false">IF($AB401="",0,IF(ISNUMBER($B401),IF(AND($B401&gt;=N($B$3),OR(NOT(ISNUMBER($D$3)),$B401&lt;=$D$3)),1,0),1))</f>
        <v>0</v>
      </c>
      <c r="AA401" s="24" t="n">
        <f aca="false">$AA400*(1+IF($Z401=1,N($G401),0))</f>
        <v>1.0035</v>
      </c>
      <c r="AB401" s="0" t="str">
        <f aca="false">IF($F401="","",IFERROR(INDEX(Cilësimet!$B$6:$B$10,MATCH($F401,Cilësimet!$A$6:$A$10,0)),""))</f>
        <v/>
      </c>
    </row>
    <row r="402" customFormat="false" ht="18.75" hidden="false" customHeight="true" outlineLevel="0" collapsed="false">
      <c r="A402" s="1"/>
      <c r="B402" s="17"/>
      <c r="C402" s="18"/>
      <c r="D402" s="18"/>
      <c r="E402" s="19"/>
      <c r="F402" s="20"/>
      <c r="G402" s="21" t="str">
        <f aca="false">IF($AB402="","",Cilësimet!$C$3*(INDEX(Cilësimet!$C$6:$C$10,MATCH($F402,Cilësimet!$A$6:$A$10,0))*N($E402)+INDEX(Cilësimet!$D$6:$D$10,MATCH($F402,Cilësimet!$A$6:$A$10,0))))</f>
        <v/>
      </c>
      <c r="H402" s="22" t="str">
        <f aca="false">IF($Z402=1,$AA402-1,"")</f>
        <v/>
      </c>
      <c r="I402" s="23"/>
      <c r="J402" s="1"/>
      <c r="K402" s="1"/>
      <c r="L402" s="1"/>
      <c r="M402" s="1"/>
      <c r="N402" s="1"/>
      <c r="O402" s="1"/>
      <c r="P402" s="1"/>
      <c r="Q402" s="1"/>
      <c r="R402" s="1"/>
      <c r="S402" s="1"/>
      <c r="Z402" s="24" t="n">
        <f aca="false">IF($AB402="",0,IF(ISNUMBER($B402),IF(AND($B402&gt;=N($B$3),OR(NOT(ISNUMBER($D$3)),$B402&lt;=$D$3)),1,0),1))</f>
        <v>0</v>
      </c>
      <c r="AA402" s="24" t="n">
        <f aca="false">$AA401*(1+IF($Z402=1,N($G402),0))</f>
        <v>1.0035</v>
      </c>
      <c r="AB402" s="0" t="str">
        <f aca="false">IF($F402="","",IFERROR(INDEX(Cilësimet!$B$6:$B$10,MATCH($F402,Cilësimet!$A$6:$A$10,0)),""))</f>
        <v/>
      </c>
    </row>
    <row r="403" customFormat="false" ht="18.75" hidden="false" customHeight="true" outlineLevel="0" collapsed="false">
      <c r="A403" s="1"/>
      <c r="B403" s="17"/>
      <c r="C403" s="18"/>
      <c r="D403" s="18"/>
      <c r="E403" s="19"/>
      <c r="F403" s="20"/>
      <c r="G403" s="21" t="str">
        <f aca="false">IF($AB403="","",Cilësimet!$C$3*(INDEX(Cilësimet!$C$6:$C$10,MATCH($F403,Cilësimet!$A$6:$A$10,0))*N($E403)+INDEX(Cilësimet!$D$6:$D$10,MATCH($F403,Cilësimet!$A$6:$A$10,0))))</f>
        <v/>
      </c>
      <c r="H403" s="22" t="str">
        <f aca="false">IF($Z403=1,$AA403-1,"")</f>
        <v/>
      </c>
      <c r="I403" s="23"/>
      <c r="J403" s="1"/>
      <c r="K403" s="1"/>
      <c r="L403" s="1"/>
      <c r="M403" s="1"/>
      <c r="N403" s="1"/>
      <c r="O403" s="1"/>
      <c r="P403" s="1"/>
      <c r="Q403" s="1"/>
      <c r="R403" s="1"/>
      <c r="S403" s="1"/>
      <c r="Z403" s="24" t="n">
        <f aca="false">IF($AB403="",0,IF(ISNUMBER($B403),IF(AND($B403&gt;=N($B$3),OR(NOT(ISNUMBER($D$3)),$B403&lt;=$D$3)),1,0),1))</f>
        <v>0</v>
      </c>
      <c r="AA403" s="24" t="n">
        <f aca="false">$AA402*(1+IF($Z403=1,N($G403),0))</f>
        <v>1.0035</v>
      </c>
      <c r="AB403" s="0" t="str">
        <f aca="false">IF($F403="","",IFERROR(INDEX(Cilësimet!$B$6:$B$10,MATCH($F403,Cilësimet!$A$6:$A$10,0)),""))</f>
        <v/>
      </c>
    </row>
    <row r="404" customFormat="false" ht="18.75" hidden="false" customHeight="true" outlineLevel="0" collapsed="false">
      <c r="A404" s="1"/>
      <c r="B404" s="17"/>
      <c r="C404" s="18"/>
      <c r="D404" s="18"/>
      <c r="E404" s="19"/>
      <c r="F404" s="20"/>
      <c r="G404" s="21" t="str">
        <f aca="false">IF($AB404="","",Cilësimet!$C$3*(INDEX(Cilësimet!$C$6:$C$10,MATCH($F404,Cilësimet!$A$6:$A$10,0))*N($E404)+INDEX(Cilësimet!$D$6:$D$10,MATCH($F404,Cilësimet!$A$6:$A$10,0))))</f>
        <v/>
      </c>
      <c r="H404" s="22" t="str">
        <f aca="false">IF($Z404=1,$AA404-1,"")</f>
        <v/>
      </c>
      <c r="I404" s="23"/>
      <c r="J404" s="1"/>
      <c r="K404" s="1"/>
      <c r="L404" s="1"/>
      <c r="M404" s="1"/>
      <c r="N404" s="1"/>
      <c r="O404" s="1"/>
      <c r="P404" s="1"/>
      <c r="Q404" s="1"/>
      <c r="R404" s="1"/>
      <c r="S404" s="1"/>
      <c r="Z404" s="24" t="n">
        <f aca="false">IF($AB404="",0,IF(ISNUMBER($B404),IF(AND($B404&gt;=N($B$3),OR(NOT(ISNUMBER($D$3)),$B404&lt;=$D$3)),1,0),1))</f>
        <v>0</v>
      </c>
      <c r="AA404" s="24" t="n">
        <f aca="false">$AA403*(1+IF($Z404=1,N($G404),0))</f>
        <v>1.0035</v>
      </c>
      <c r="AB404" s="0" t="str">
        <f aca="false">IF($F404="","",IFERROR(INDEX(Cilësimet!$B$6:$B$10,MATCH($F404,Cilësimet!$A$6:$A$10,0)),""))</f>
        <v/>
      </c>
    </row>
    <row r="405" customFormat="false" ht="18.75" hidden="false" customHeight="true" outlineLevel="0" collapsed="false">
      <c r="A405" s="1"/>
      <c r="B405" s="17"/>
      <c r="C405" s="18"/>
      <c r="D405" s="18"/>
      <c r="E405" s="19"/>
      <c r="F405" s="20"/>
      <c r="G405" s="21" t="str">
        <f aca="false">IF($AB405="","",Cilësimet!$C$3*(INDEX(Cilësimet!$C$6:$C$10,MATCH($F405,Cilësimet!$A$6:$A$10,0))*N($E405)+INDEX(Cilësimet!$D$6:$D$10,MATCH($F405,Cilësimet!$A$6:$A$10,0))))</f>
        <v/>
      </c>
      <c r="H405" s="22" t="str">
        <f aca="false">IF($Z405=1,$AA405-1,"")</f>
        <v/>
      </c>
      <c r="I405" s="23"/>
      <c r="J405" s="1"/>
      <c r="K405" s="1"/>
      <c r="L405" s="1"/>
      <c r="M405" s="1"/>
      <c r="N405" s="1"/>
      <c r="O405" s="1"/>
      <c r="P405" s="1"/>
      <c r="Q405" s="1"/>
      <c r="R405" s="1"/>
      <c r="S405" s="1"/>
      <c r="Z405" s="24" t="n">
        <f aca="false">IF($AB405="",0,IF(ISNUMBER($B405),IF(AND($B405&gt;=N($B$3),OR(NOT(ISNUMBER($D$3)),$B405&lt;=$D$3)),1,0),1))</f>
        <v>0</v>
      </c>
      <c r="AA405" s="24" t="n">
        <f aca="false">$AA404*(1+IF($Z405=1,N($G405),0))</f>
        <v>1.0035</v>
      </c>
      <c r="AB405" s="0" t="str">
        <f aca="false">IF($F405="","",IFERROR(INDEX(Cilësimet!$B$6:$B$10,MATCH($F405,Cilësimet!$A$6:$A$10,0)),""))</f>
        <v/>
      </c>
    </row>
    <row r="406" customFormat="false" ht="18.75" hidden="false" customHeight="true" outlineLevel="0" collapsed="false">
      <c r="A406" s="1"/>
      <c r="B406" s="17"/>
      <c r="C406" s="18"/>
      <c r="D406" s="18"/>
      <c r="E406" s="19"/>
      <c r="F406" s="20"/>
      <c r="G406" s="21" t="str">
        <f aca="false">IF($AB406="","",Cilësimet!$C$3*(INDEX(Cilësimet!$C$6:$C$10,MATCH($F406,Cilësimet!$A$6:$A$10,0))*N($E406)+INDEX(Cilësimet!$D$6:$D$10,MATCH($F406,Cilësimet!$A$6:$A$10,0))))</f>
        <v/>
      </c>
      <c r="H406" s="22" t="str">
        <f aca="false">IF($Z406=1,$AA406-1,"")</f>
        <v/>
      </c>
      <c r="I406" s="23"/>
      <c r="J406" s="1"/>
      <c r="K406" s="1"/>
      <c r="L406" s="1"/>
      <c r="M406" s="1"/>
      <c r="N406" s="1"/>
      <c r="O406" s="1"/>
      <c r="P406" s="1"/>
      <c r="Q406" s="1"/>
      <c r="R406" s="1"/>
      <c r="S406" s="1"/>
      <c r="Z406" s="24" t="n">
        <f aca="false">IF($AB406="",0,IF(ISNUMBER($B406),IF(AND($B406&gt;=N($B$3),OR(NOT(ISNUMBER($D$3)),$B406&lt;=$D$3)),1,0),1))</f>
        <v>0</v>
      </c>
      <c r="AA406" s="24" t="n">
        <f aca="false">$AA405*(1+IF($Z406=1,N($G406),0))</f>
        <v>1.0035</v>
      </c>
      <c r="AB406" s="0" t="str">
        <f aca="false">IF($F406="","",IFERROR(INDEX(Cilësimet!$B$6:$B$10,MATCH($F406,Cilësimet!$A$6:$A$10,0)),""))</f>
        <v/>
      </c>
    </row>
    <row r="407" customFormat="false" ht="18.75" hidden="false" customHeight="true" outlineLevel="0" collapsed="false">
      <c r="A407" s="1"/>
      <c r="B407" s="17"/>
      <c r="C407" s="18"/>
      <c r="D407" s="18"/>
      <c r="E407" s="19"/>
      <c r="F407" s="20"/>
      <c r="G407" s="21" t="str">
        <f aca="false">IF($AB407="","",Cilësimet!$C$3*(INDEX(Cilësimet!$C$6:$C$10,MATCH($F407,Cilësimet!$A$6:$A$10,0))*N($E407)+INDEX(Cilësimet!$D$6:$D$10,MATCH($F407,Cilësimet!$A$6:$A$10,0))))</f>
        <v/>
      </c>
      <c r="H407" s="22" t="str">
        <f aca="false">IF($Z407=1,$AA407-1,"")</f>
        <v/>
      </c>
      <c r="I407" s="23"/>
      <c r="J407" s="1"/>
      <c r="K407" s="1"/>
      <c r="L407" s="1"/>
      <c r="M407" s="1"/>
      <c r="N407" s="1"/>
      <c r="O407" s="1"/>
      <c r="P407" s="1"/>
      <c r="Q407" s="1"/>
      <c r="R407" s="1"/>
      <c r="S407" s="1"/>
      <c r="Z407" s="24" t="n">
        <f aca="false">IF($AB407="",0,IF(ISNUMBER($B407),IF(AND($B407&gt;=N($B$3),OR(NOT(ISNUMBER($D$3)),$B407&lt;=$D$3)),1,0),1))</f>
        <v>0</v>
      </c>
      <c r="AA407" s="24" t="n">
        <f aca="false">$AA406*(1+IF($Z407=1,N($G407),0))</f>
        <v>1.0035</v>
      </c>
      <c r="AB407" s="0" t="str">
        <f aca="false">IF($F407="","",IFERROR(INDEX(Cilësimet!$B$6:$B$10,MATCH($F407,Cilësimet!$A$6:$A$10,0)),""))</f>
        <v/>
      </c>
    </row>
    <row r="408" customFormat="false" ht="18.75" hidden="false" customHeight="true" outlineLevel="0" collapsed="false">
      <c r="A408" s="1"/>
      <c r="B408" s="17"/>
      <c r="C408" s="18"/>
      <c r="D408" s="18"/>
      <c r="E408" s="19"/>
      <c r="F408" s="20"/>
      <c r="G408" s="21" t="str">
        <f aca="false">IF($AB408="","",Cilësimet!$C$3*(INDEX(Cilësimet!$C$6:$C$10,MATCH($F408,Cilësimet!$A$6:$A$10,0))*N($E408)+INDEX(Cilësimet!$D$6:$D$10,MATCH($F408,Cilësimet!$A$6:$A$10,0))))</f>
        <v/>
      </c>
      <c r="H408" s="22" t="str">
        <f aca="false">IF($Z408=1,$AA408-1,"")</f>
        <v/>
      </c>
      <c r="I408" s="23"/>
      <c r="J408" s="1"/>
      <c r="K408" s="1"/>
      <c r="L408" s="1"/>
      <c r="M408" s="1"/>
      <c r="N408" s="1"/>
      <c r="O408" s="1"/>
      <c r="P408" s="1"/>
      <c r="Q408" s="1"/>
      <c r="R408" s="1"/>
      <c r="S408" s="1"/>
      <c r="Z408" s="24" t="n">
        <f aca="false">IF($AB408="",0,IF(ISNUMBER($B408),IF(AND($B408&gt;=N($B$3),OR(NOT(ISNUMBER($D$3)),$B408&lt;=$D$3)),1,0),1))</f>
        <v>0</v>
      </c>
      <c r="AA408" s="24" t="n">
        <f aca="false">$AA407*(1+IF($Z408=1,N($G408),0))</f>
        <v>1.0035</v>
      </c>
      <c r="AB408" s="0" t="str">
        <f aca="false">IF($F408="","",IFERROR(INDEX(Cilësimet!$B$6:$B$10,MATCH($F408,Cilësimet!$A$6:$A$10,0)),""))</f>
        <v/>
      </c>
    </row>
    <row r="409" customFormat="false" ht="18.75" hidden="false" customHeight="true" outlineLevel="0" collapsed="false">
      <c r="A409" s="1"/>
      <c r="B409" s="17"/>
      <c r="C409" s="18"/>
      <c r="D409" s="18"/>
      <c r="E409" s="19"/>
      <c r="F409" s="20"/>
      <c r="G409" s="21" t="str">
        <f aca="false">IF($AB409="","",Cilësimet!$C$3*(INDEX(Cilësimet!$C$6:$C$10,MATCH($F409,Cilësimet!$A$6:$A$10,0))*N($E409)+INDEX(Cilësimet!$D$6:$D$10,MATCH($F409,Cilësimet!$A$6:$A$10,0))))</f>
        <v/>
      </c>
      <c r="H409" s="22" t="str">
        <f aca="false">IF($Z409=1,$AA409-1,"")</f>
        <v/>
      </c>
      <c r="I409" s="23"/>
      <c r="J409" s="1"/>
      <c r="K409" s="1"/>
      <c r="L409" s="1"/>
      <c r="M409" s="1"/>
      <c r="N409" s="1"/>
      <c r="O409" s="1"/>
      <c r="P409" s="1"/>
      <c r="Q409" s="1"/>
      <c r="R409" s="1"/>
      <c r="S409" s="1"/>
      <c r="Z409" s="24" t="n">
        <f aca="false">IF($AB409="",0,IF(ISNUMBER($B409),IF(AND($B409&gt;=N($B$3),OR(NOT(ISNUMBER($D$3)),$B409&lt;=$D$3)),1,0),1))</f>
        <v>0</v>
      </c>
      <c r="AA409" s="24" t="n">
        <f aca="false">$AA408*(1+IF($Z409=1,N($G409),0))</f>
        <v>1.0035</v>
      </c>
      <c r="AB409" s="0" t="str">
        <f aca="false">IF($F409="","",IFERROR(INDEX(Cilësimet!$B$6:$B$10,MATCH($F409,Cilësimet!$A$6:$A$10,0)),""))</f>
        <v/>
      </c>
    </row>
    <row r="410" customFormat="false" ht="18.75" hidden="false" customHeight="true" outlineLevel="0" collapsed="false">
      <c r="A410" s="1"/>
      <c r="B410" s="17"/>
      <c r="C410" s="18"/>
      <c r="D410" s="18"/>
      <c r="E410" s="19"/>
      <c r="F410" s="20"/>
      <c r="G410" s="21" t="str">
        <f aca="false">IF($AB410="","",Cilësimet!$C$3*(INDEX(Cilësimet!$C$6:$C$10,MATCH($F410,Cilësimet!$A$6:$A$10,0))*N($E410)+INDEX(Cilësimet!$D$6:$D$10,MATCH($F410,Cilësimet!$A$6:$A$10,0))))</f>
        <v/>
      </c>
      <c r="H410" s="22" t="str">
        <f aca="false">IF($Z410=1,$AA410-1,"")</f>
        <v/>
      </c>
      <c r="I410" s="23"/>
      <c r="J410" s="1"/>
      <c r="K410" s="1"/>
      <c r="L410" s="1"/>
      <c r="M410" s="1"/>
      <c r="N410" s="1"/>
      <c r="O410" s="1"/>
      <c r="P410" s="1"/>
      <c r="Q410" s="1"/>
      <c r="R410" s="1"/>
      <c r="S410" s="1"/>
      <c r="Z410" s="24" t="n">
        <f aca="false">IF($AB410="",0,IF(ISNUMBER($B410),IF(AND($B410&gt;=N($B$3),OR(NOT(ISNUMBER($D$3)),$B410&lt;=$D$3)),1,0),1))</f>
        <v>0</v>
      </c>
      <c r="AA410" s="24" t="n">
        <f aca="false">$AA409*(1+IF($Z410=1,N($G410),0))</f>
        <v>1.0035</v>
      </c>
      <c r="AB410" s="0" t="str">
        <f aca="false">IF($F410="","",IFERROR(INDEX(Cilësimet!$B$6:$B$10,MATCH($F410,Cilësimet!$A$6:$A$10,0)),""))</f>
        <v/>
      </c>
    </row>
    <row r="411" customFormat="false" ht="18.75" hidden="false" customHeight="true" outlineLevel="0" collapsed="false">
      <c r="A411" s="1"/>
      <c r="B411" s="17"/>
      <c r="C411" s="18"/>
      <c r="D411" s="18"/>
      <c r="E411" s="19"/>
      <c r="F411" s="20"/>
      <c r="G411" s="21" t="str">
        <f aca="false">IF($AB411="","",Cilësimet!$C$3*(INDEX(Cilësimet!$C$6:$C$10,MATCH($F411,Cilësimet!$A$6:$A$10,0))*N($E411)+INDEX(Cilësimet!$D$6:$D$10,MATCH($F411,Cilësimet!$A$6:$A$10,0))))</f>
        <v/>
      </c>
      <c r="H411" s="22" t="str">
        <f aca="false">IF($Z411=1,$AA411-1,"")</f>
        <v/>
      </c>
      <c r="I411" s="23"/>
      <c r="J411" s="1"/>
      <c r="K411" s="1"/>
      <c r="L411" s="1"/>
      <c r="M411" s="1"/>
      <c r="N411" s="1"/>
      <c r="O411" s="1"/>
      <c r="P411" s="1"/>
      <c r="Q411" s="1"/>
      <c r="R411" s="1"/>
      <c r="S411" s="1"/>
      <c r="Z411" s="24" t="n">
        <f aca="false">IF($AB411="",0,IF(ISNUMBER($B411),IF(AND($B411&gt;=N($B$3),OR(NOT(ISNUMBER($D$3)),$B411&lt;=$D$3)),1,0),1))</f>
        <v>0</v>
      </c>
      <c r="AA411" s="24" t="n">
        <f aca="false">$AA410*(1+IF($Z411=1,N($G411),0))</f>
        <v>1.0035</v>
      </c>
      <c r="AB411" s="0" t="str">
        <f aca="false">IF($F411="","",IFERROR(INDEX(Cilësimet!$B$6:$B$10,MATCH($F411,Cilësimet!$A$6:$A$10,0)),""))</f>
        <v/>
      </c>
    </row>
    <row r="412" customFormat="false" ht="18.75" hidden="false" customHeight="true" outlineLevel="0" collapsed="false">
      <c r="A412" s="1"/>
      <c r="B412" s="17"/>
      <c r="C412" s="18"/>
      <c r="D412" s="18"/>
      <c r="E412" s="19"/>
      <c r="F412" s="20"/>
      <c r="G412" s="21" t="str">
        <f aca="false">IF($AB412="","",Cilësimet!$C$3*(INDEX(Cilësimet!$C$6:$C$10,MATCH($F412,Cilësimet!$A$6:$A$10,0))*N($E412)+INDEX(Cilësimet!$D$6:$D$10,MATCH($F412,Cilësimet!$A$6:$A$10,0))))</f>
        <v/>
      </c>
      <c r="H412" s="22" t="str">
        <f aca="false">IF($Z412=1,$AA412-1,"")</f>
        <v/>
      </c>
      <c r="I412" s="23"/>
      <c r="J412" s="1"/>
      <c r="K412" s="1"/>
      <c r="L412" s="1"/>
      <c r="M412" s="1"/>
      <c r="N412" s="1"/>
      <c r="O412" s="1"/>
      <c r="P412" s="1"/>
      <c r="Q412" s="1"/>
      <c r="R412" s="1"/>
      <c r="S412" s="1"/>
      <c r="Z412" s="24" t="n">
        <f aca="false">IF($AB412="",0,IF(ISNUMBER($B412),IF(AND($B412&gt;=N($B$3),OR(NOT(ISNUMBER($D$3)),$B412&lt;=$D$3)),1,0),1))</f>
        <v>0</v>
      </c>
      <c r="AA412" s="24" t="n">
        <f aca="false">$AA411*(1+IF($Z412=1,N($G412),0))</f>
        <v>1.0035</v>
      </c>
      <c r="AB412" s="0" t="str">
        <f aca="false">IF($F412="","",IFERROR(INDEX(Cilësimet!$B$6:$B$10,MATCH($F412,Cilësimet!$A$6:$A$10,0)),""))</f>
        <v/>
      </c>
    </row>
    <row r="413" customFormat="false" ht="18.75" hidden="false" customHeight="true" outlineLevel="0" collapsed="false">
      <c r="A413" s="1"/>
      <c r="B413" s="17"/>
      <c r="C413" s="18"/>
      <c r="D413" s="18"/>
      <c r="E413" s="19"/>
      <c r="F413" s="20"/>
      <c r="G413" s="21" t="str">
        <f aca="false">IF($AB413="","",Cilësimet!$C$3*(INDEX(Cilësimet!$C$6:$C$10,MATCH($F413,Cilësimet!$A$6:$A$10,0))*N($E413)+INDEX(Cilësimet!$D$6:$D$10,MATCH($F413,Cilësimet!$A$6:$A$10,0))))</f>
        <v/>
      </c>
      <c r="H413" s="22" t="str">
        <f aca="false">IF($Z413=1,$AA413-1,"")</f>
        <v/>
      </c>
      <c r="I413" s="23"/>
      <c r="J413" s="1"/>
      <c r="K413" s="1"/>
      <c r="L413" s="1"/>
      <c r="M413" s="1"/>
      <c r="N413" s="1"/>
      <c r="O413" s="1"/>
      <c r="P413" s="1"/>
      <c r="Q413" s="1"/>
      <c r="R413" s="1"/>
      <c r="S413" s="1"/>
      <c r="Z413" s="24" t="n">
        <f aca="false">IF($AB413="",0,IF(ISNUMBER($B413),IF(AND($B413&gt;=N($B$3),OR(NOT(ISNUMBER($D$3)),$B413&lt;=$D$3)),1,0),1))</f>
        <v>0</v>
      </c>
      <c r="AA413" s="24" t="n">
        <f aca="false">$AA412*(1+IF($Z413=1,N($G413),0))</f>
        <v>1.0035</v>
      </c>
      <c r="AB413" s="0" t="str">
        <f aca="false">IF($F413="","",IFERROR(INDEX(Cilësimet!$B$6:$B$10,MATCH($F413,Cilësimet!$A$6:$A$10,0)),""))</f>
        <v/>
      </c>
    </row>
    <row r="414" customFormat="false" ht="18.75" hidden="false" customHeight="true" outlineLevel="0" collapsed="false">
      <c r="A414" s="1"/>
      <c r="B414" s="17"/>
      <c r="C414" s="18"/>
      <c r="D414" s="18"/>
      <c r="E414" s="19"/>
      <c r="F414" s="20"/>
      <c r="G414" s="21" t="str">
        <f aca="false">IF($AB414="","",Cilësimet!$C$3*(INDEX(Cilësimet!$C$6:$C$10,MATCH($F414,Cilësimet!$A$6:$A$10,0))*N($E414)+INDEX(Cilësimet!$D$6:$D$10,MATCH($F414,Cilësimet!$A$6:$A$10,0))))</f>
        <v/>
      </c>
      <c r="H414" s="22" t="str">
        <f aca="false">IF($Z414=1,$AA414-1,"")</f>
        <v/>
      </c>
      <c r="I414" s="23"/>
      <c r="J414" s="1"/>
      <c r="K414" s="1"/>
      <c r="L414" s="1"/>
      <c r="M414" s="1"/>
      <c r="N414" s="1"/>
      <c r="O414" s="1"/>
      <c r="P414" s="1"/>
      <c r="Q414" s="1"/>
      <c r="R414" s="1"/>
      <c r="S414" s="1"/>
      <c r="Z414" s="24" t="n">
        <f aca="false">IF($AB414="",0,IF(ISNUMBER($B414),IF(AND($B414&gt;=N($B$3),OR(NOT(ISNUMBER($D$3)),$B414&lt;=$D$3)),1,0),1))</f>
        <v>0</v>
      </c>
      <c r="AA414" s="24" t="n">
        <f aca="false">$AA413*(1+IF($Z414=1,N($G414),0))</f>
        <v>1.0035</v>
      </c>
      <c r="AB414" s="0" t="str">
        <f aca="false">IF($F414="","",IFERROR(INDEX(Cilësimet!$B$6:$B$10,MATCH($F414,Cilësimet!$A$6:$A$10,0)),""))</f>
        <v/>
      </c>
    </row>
    <row r="415" customFormat="false" ht="18.75" hidden="false" customHeight="true" outlineLevel="0" collapsed="false">
      <c r="A415" s="1"/>
      <c r="B415" s="17"/>
      <c r="C415" s="18"/>
      <c r="D415" s="18"/>
      <c r="E415" s="19"/>
      <c r="F415" s="20"/>
      <c r="G415" s="21" t="str">
        <f aca="false">IF($AB415="","",Cilësimet!$C$3*(INDEX(Cilësimet!$C$6:$C$10,MATCH($F415,Cilësimet!$A$6:$A$10,0))*N($E415)+INDEX(Cilësimet!$D$6:$D$10,MATCH($F415,Cilësimet!$A$6:$A$10,0))))</f>
        <v/>
      </c>
      <c r="H415" s="22" t="str">
        <f aca="false">IF($Z415=1,$AA415-1,"")</f>
        <v/>
      </c>
      <c r="I415" s="23"/>
      <c r="J415" s="1"/>
      <c r="K415" s="1"/>
      <c r="L415" s="1"/>
      <c r="M415" s="1"/>
      <c r="N415" s="1"/>
      <c r="O415" s="1"/>
      <c r="P415" s="1"/>
      <c r="Q415" s="1"/>
      <c r="R415" s="1"/>
      <c r="S415" s="1"/>
      <c r="Z415" s="24" t="n">
        <f aca="false">IF($AB415="",0,IF(ISNUMBER($B415),IF(AND($B415&gt;=N($B$3),OR(NOT(ISNUMBER($D$3)),$B415&lt;=$D$3)),1,0),1))</f>
        <v>0</v>
      </c>
      <c r="AA415" s="24" t="n">
        <f aca="false">$AA414*(1+IF($Z415=1,N($G415),0))</f>
        <v>1.0035</v>
      </c>
      <c r="AB415" s="0" t="str">
        <f aca="false">IF($F415="","",IFERROR(INDEX(Cilësimet!$B$6:$B$10,MATCH($F415,Cilësimet!$A$6:$A$10,0)),""))</f>
        <v/>
      </c>
    </row>
    <row r="416" customFormat="false" ht="18.75" hidden="false" customHeight="true" outlineLevel="0" collapsed="false">
      <c r="A416" s="1"/>
      <c r="B416" s="17"/>
      <c r="C416" s="18"/>
      <c r="D416" s="18"/>
      <c r="E416" s="19"/>
      <c r="F416" s="20"/>
      <c r="G416" s="21" t="str">
        <f aca="false">IF($AB416="","",Cilësimet!$C$3*(INDEX(Cilësimet!$C$6:$C$10,MATCH($F416,Cilësimet!$A$6:$A$10,0))*N($E416)+INDEX(Cilësimet!$D$6:$D$10,MATCH($F416,Cilësimet!$A$6:$A$10,0))))</f>
        <v/>
      </c>
      <c r="H416" s="22" t="str">
        <f aca="false">IF($Z416=1,$AA416-1,"")</f>
        <v/>
      </c>
      <c r="I416" s="23"/>
      <c r="J416" s="1"/>
      <c r="K416" s="1"/>
      <c r="L416" s="1"/>
      <c r="M416" s="1"/>
      <c r="N416" s="1"/>
      <c r="O416" s="1"/>
      <c r="P416" s="1"/>
      <c r="Q416" s="1"/>
      <c r="R416" s="1"/>
      <c r="S416" s="1"/>
      <c r="Z416" s="24" t="n">
        <f aca="false">IF($AB416="",0,IF(ISNUMBER($B416),IF(AND($B416&gt;=N($B$3),OR(NOT(ISNUMBER($D$3)),$B416&lt;=$D$3)),1,0),1))</f>
        <v>0</v>
      </c>
      <c r="AA416" s="24" t="n">
        <f aca="false">$AA415*(1+IF($Z416=1,N($G416),0))</f>
        <v>1.0035</v>
      </c>
      <c r="AB416" s="0" t="str">
        <f aca="false">IF($F416="","",IFERROR(INDEX(Cilësimet!$B$6:$B$10,MATCH($F416,Cilësimet!$A$6:$A$10,0)),""))</f>
        <v/>
      </c>
    </row>
    <row r="417" customFormat="false" ht="18.75" hidden="false" customHeight="true" outlineLevel="0" collapsed="false">
      <c r="A417" s="1"/>
      <c r="B417" s="17"/>
      <c r="C417" s="18"/>
      <c r="D417" s="18"/>
      <c r="E417" s="19"/>
      <c r="F417" s="20"/>
      <c r="G417" s="21" t="str">
        <f aca="false">IF($AB417="","",Cilësimet!$C$3*(INDEX(Cilësimet!$C$6:$C$10,MATCH($F417,Cilësimet!$A$6:$A$10,0))*N($E417)+INDEX(Cilësimet!$D$6:$D$10,MATCH($F417,Cilësimet!$A$6:$A$10,0))))</f>
        <v/>
      </c>
      <c r="H417" s="22" t="str">
        <f aca="false">IF($Z417=1,$AA417-1,"")</f>
        <v/>
      </c>
      <c r="I417" s="23"/>
      <c r="J417" s="1"/>
      <c r="K417" s="1"/>
      <c r="L417" s="1"/>
      <c r="M417" s="1"/>
      <c r="N417" s="1"/>
      <c r="O417" s="1"/>
      <c r="P417" s="1"/>
      <c r="Q417" s="1"/>
      <c r="R417" s="1"/>
      <c r="S417" s="1"/>
      <c r="Z417" s="24" t="n">
        <f aca="false">IF($AB417="",0,IF(ISNUMBER($B417),IF(AND($B417&gt;=N($B$3),OR(NOT(ISNUMBER($D$3)),$B417&lt;=$D$3)),1,0),1))</f>
        <v>0</v>
      </c>
      <c r="AA417" s="24" t="n">
        <f aca="false">$AA416*(1+IF($Z417=1,N($G417),0))</f>
        <v>1.0035</v>
      </c>
      <c r="AB417" s="0" t="str">
        <f aca="false">IF($F417="","",IFERROR(INDEX(Cilësimet!$B$6:$B$10,MATCH($F417,Cilësimet!$A$6:$A$10,0)),""))</f>
        <v/>
      </c>
    </row>
    <row r="418" customFormat="false" ht="18.75" hidden="false" customHeight="true" outlineLevel="0" collapsed="false">
      <c r="A418" s="1"/>
      <c r="B418" s="17"/>
      <c r="C418" s="18"/>
      <c r="D418" s="18"/>
      <c r="E418" s="19"/>
      <c r="F418" s="20"/>
      <c r="G418" s="21" t="str">
        <f aca="false">IF($AB418="","",Cilësimet!$C$3*(INDEX(Cilësimet!$C$6:$C$10,MATCH($F418,Cilësimet!$A$6:$A$10,0))*N($E418)+INDEX(Cilësimet!$D$6:$D$10,MATCH($F418,Cilësimet!$A$6:$A$10,0))))</f>
        <v/>
      </c>
      <c r="H418" s="22" t="str">
        <f aca="false">IF($Z418=1,$AA418-1,"")</f>
        <v/>
      </c>
      <c r="I418" s="23"/>
      <c r="J418" s="1"/>
      <c r="K418" s="1"/>
      <c r="L418" s="1"/>
      <c r="M418" s="1"/>
      <c r="N418" s="1"/>
      <c r="O418" s="1"/>
      <c r="P418" s="1"/>
      <c r="Q418" s="1"/>
      <c r="R418" s="1"/>
      <c r="S418" s="1"/>
      <c r="Z418" s="24" t="n">
        <f aca="false">IF($AB418="",0,IF(ISNUMBER($B418),IF(AND($B418&gt;=N($B$3),OR(NOT(ISNUMBER($D$3)),$B418&lt;=$D$3)),1,0),1))</f>
        <v>0</v>
      </c>
      <c r="AA418" s="24" t="n">
        <f aca="false">$AA417*(1+IF($Z418=1,N($G418),0))</f>
        <v>1.0035</v>
      </c>
      <c r="AB418" s="0" t="str">
        <f aca="false">IF($F418="","",IFERROR(INDEX(Cilësimet!$B$6:$B$10,MATCH($F418,Cilësimet!$A$6:$A$10,0)),""))</f>
        <v/>
      </c>
    </row>
    <row r="419" customFormat="false" ht="18.75" hidden="false" customHeight="true" outlineLevel="0" collapsed="false">
      <c r="A419" s="1"/>
      <c r="B419" s="17"/>
      <c r="C419" s="18"/>
      <c r="D419" s="18"/>
      <c r="E419" s="19"/>
      <c r="F419" s="20"/>
      <c r="G419" s="21" t="str">
        <f aca="false">IF($AB419="","",Cilësimet!$C$3*(INDEX(Cilësimet!$C$6:$C$10,MATCH($F419,Cilësimet!$A$6:$A$10,0))*N($E419)+INDEX(Cilësimet!$D$6:$D$10,MATCH($F419,Cilësimet!$A$6:$A$10,0))))</f>
        <v/>
      </c>
      <c r="H419" s="22" t="str">
        <f aca="false">IF($Z419=1,$AA419-1,"")</f>
        <v/>
      </c>
      <c r="I419" s="23"/>
      <c r="J419" s="1"/>
      <c r="K419" s="1"/>
      <c r="L419" s="1"/>
      <c r="M419" s="1"/>
      <c r="N419" s="1"/>
      <c r="O419" s="1"/>
      <c r="P419" s="1"/>
      <c r="Q419" s="1"/>
      <c r="R419" s="1"/>
      <c r="S419" s="1"/>
      <c r="Z419" s="24" t="n">
        <f aca="false">IF($AB419="",0,IF(ISNUMBER($B419),IF(AND($B419&gt;=N($B$3),OR(NOT(ISNUMBER($D$3)),$B419&lt;=$D$3)),1,0),1))</f>
        <v>0</v>
      </c>
      <c r="AA419" s="24" t="n">
        <f aca="false">$AA418*(1+IF($Z419=1,N($G419),0))</f>
        <v>1.0035</v>
      </c>
      <c r="AB419" s="0" t="str">
        <f aca="false">IF($F419="","",IFERROR(INDEX(Cilësimet!$B$6:$B$10,MATCH($F419,Cilësimet!$A$6:$A$10,0)),""))</f>
        <v/>
      </c>
    </row>
    <row r="420" customFormat="false" ht="18.75" hidden="false" customHeight="true" outlineLevel="0" collapsed="false">
      <c r="A420" s="1"/>
      <c r="B420" s="17"/>
      <c r="C420" s="18"/>
      <c r="D420" s="18"/>
      <c r="E420" s="19"/>
      <c r="F420" s="20"/>
      <c r="G420" s="21" t="str">
        <f aca="false">IF($AB420="","",Cilësimet!$C$3*(INDEX(Cilësimet!$C$6:$C$10,MATCH($F420,Cilësimet!$A$6:$A$10,0))*N($E420)+INDEX(Cilësimet!$D$6:$D$10,MATCH($F420,Cilësimet!$A$6:$A$10,0))))</f>
        <v/>
      </c>
      <c r="H420" s="22" t="str">
        <f aca="false">IF($Z420=1,$AA420-1,"")</f>
        <v/>
      </c>
      <c r="I420" s="23"/>
      <c r="J420" s="1"/>
      <c r="K420" s="1"/>
      <c r="L420" s="1"/>
      <c r="M420" s="1"/>
      <c r="N420" s="1"/>
      <c r="O420" s="1"/>
      <c r="P420" s="1"/>
      <c r="Q420" s="1"/>
      <c r="R420" s="1"/>
      <c r="S420" s="1"/>
      <c r="Z420" s="24" t="n">
        <f aca="false">IF($AB420="",0,IF(ISNUMBER($B420),IF(AND($B420&gt;=N($B$3),OR(NOT(ISNUMBER($D$3)),$B420&lt;=$D$3)),1,0),1))</f>
        <v>0</v>
      </c>
      <c r="AA420" s="24" t="n">
        <f aca="false">$AA419*(1+IF($Z420=1,N($G420),0))</f>
        <v>1.0035</v>
      </c>
      <c r="AB420" s="0" t="str">
        <f aca="false">IF($F420="","",IFERROR(INDEX(Cilësimet!$B$6:$B$10,MATCH($F420,Cilësimet!$A$6:$A$10,0)),""))</f>
        <v/>
      </c>
    </row>
    <row r="421" customFormat="false" ht="18.75" hidden="false" customHeight="true" outlineLevel="0" collapsed="false">
      <c r="A421" s="1"/>
      <c r="B421" s="17"/>
      <c r="C421" s="18"/>
      <c r="D421" s="18"/>
      <c r="E421" s="19"/>
      <c r="F421" s="20"/>
      <c r="G421" s="21" t="str">
        <f aca="false">IF($AB421="","",Cilësimet!$C$3*(INDEX(Cilësimet!$C$6:$C$10,MATCH($F421,Cilësimet!$A$6:$A$10,0))*N($E421)+INDEX(Cilësimet!$D$6:$D$10,MATCH($F421,Cilësimet!$A$6:$A$10,0))))</f>
        <v/>
      </c>
      <c r="H421" s="22" t="str">
        <f aca="false">IF($Z421=1,$AA421-1,"")</f>
        <v/>
      </c>
      <c r="I421" s="23"/>
      <c r="J421" s="1"/>
      <c r="K421" s="1"/>
      <c r="L421" s="1"/>
      <c r="M421" s="1"/>
      <c r="N421" s="1"/>
      <c r="O421" s="1"/>
      <c r="P421" s="1"/>
      <c r="Q421" s="1"/>
      <c r="R421" s="1"/>
      <c r="S421" s="1"/>
      <c r="Z421" s="24" t="n">
        <f aca="false">IF($AB421="",0,IF(ISNUMBER($B421),IF(AND($B421&gt;=N($B$3),OR(NOT(ISNUMBER($D$3)),$B421&lt;=$D$3)),1,0),1))</f>
        <v>0</v>
      </c>
      <c r="AA421" s="24" t="n">
        <f aca="false">$AA420*(1+IF($Z421=1,N($G421),0))</f>
        <v>1.0035</v>
      </c>
      <c r="AB421" s="0" t="str">
        <f aca="false">IF($F421="","",IFERROR(INDEX(Cilësimet!$B$6:$B$10,MATCH($F421,Cilësimet!$A$6:$A$10,0)),""))</f>
        <v/>
      </c>
    </row>
    <row r="422" customFormat="false" ht="18.75" hidden="false" customHeight="true" outlineLevel="0" collapsed="false">
      <c r="A422" s="1"/>
      <c r="B422" s="17"/>
      <c r="C422" s="18"/>
      <c r="D422" s="18"/>
      <c r="E422" s="19"/>
      <c r="F422" s="20"/>
      <c r="G422" s="21" t="str">
        <f aca="false">IF($AB422="","",Cilësimet!$C$3*(INDEX(Cilësimet!$C$6:$C$10,MATCH($F422,Cilësimet!$A$6:$A$10,0))*N($E422)+INDEX(Cilësimet!$D$6:$D$10,MATCH($F422,Cilësimet!$A$6:$A$10,0))))</f>
        <v/>
      </c>
      <c r="H422" s="22" t="str">
        <f aca="false">IF($Z422=1,$AA422-1,"")</f>
        <v/>
      </c>
      <c r="I422" s="23"/>
      <c r="J422" s="1"/>
      <c r="K422" s="1"/>
      <c r="L422" s="1"/>
      <c r="M422" s="1"/>
      <c r="N422" s="1"/>
      <c r="O422" s="1"/>
      <c r="P422" s="1"/>
      <c r="Q422" s="1"/>
      <c r="R422" s="1"/>
      <c r="S422" s="1"/>
      <c r="Z422" s="24" t="n">
        <f aca="false">IF($AB422="",0,IF(ISNUMBER($B422),IF(AND($B422&gt;=N($B$3),OR(NOT(ISNUMBER($D$3)),$B422&lt;=$D$3)),1,0),1))</f>
        <v>0</v>
      </c>
      <c r="AA422" s="24" t="n">
        <f aca="false">$AA421*(1+IF($Z422=1,N($G422),0))</f>
        <v>1.0035</v>
      </c>
      <c r="AB422" s="0" t="str">
        <f aca="false">IF($F422="","",IFERROR(INDEX(Cilësimet!$B$6:$B$10,MATCH($F422,Cilësimet!$A$6:$A$10,0)),""))</f>
        <v/>
      </c>
    </row>
    <row r="423" customFormat="false" ht="18.75" hidden="false" customHeight="true" outlineLevel="0" collapsed="false">
      <c r="A423" s="1"/>
      <c r="B423" s="17"/>
      <c r="C423" s="18"/>
      <c r="D423" s="18"/>
      <c r="E423" s="19"/>
      <c r="F423" s="20"/>
      <c r="G423" s="21" t="str">
        <f aca="false">IF($AB423="","",Cilësimet!$C$3*(INDEX(Cilësimet!$C$6:$C$10,MATCH($F423,Cilësimet!$A$6:$A$10,0))*N($E423)+INDEX(Cilësimet!$D$6:$D$10,MATCH($F423,Cilësimet!$A$6:$A$10,0))))</f>
        <v/>
      </c>
      <c r="H423" s="22" t="str">
        <f aca="false">IF($Z423=1,$AA423-1,"")</f>
        <v/>
      </c>
      <c r="I423" s="23"/>
      <c r="J423" s="1"/>
      <c r="K423" s="1"/>
      <c r="L423" s="1"/>
      <c r="M423" s="1"/>
      <c r="N423" s="1"/>
      <c r="O423" s="1"/>
      <c r="P423" s="1"/>
      <c r="Q423" s="1"/>
      <c r="R423" s="1"/>
      <c r="S423" s="1"/>
      <c r="Z423" s="24" t="n">
        <f aca="false">IF($AB423="",0,IF(ISNUMBER($B423),IF(AND($B423&gt;=N($B$3),OR(NOT(ISNUMBER($D$3)),$B423&lt;=$D$3)),1,0),1))</f>
        <v>0</v>
      </c>
      <c r="AA423" s="24" t="n">
        <f aca="false">$AA422*(1+IF($Z423=1,N($G423),0))</f>
        <v>1.0035</v>
      </c>
      <c r="AB423" s="0" t="str">
        <f aca="false">IF($F423="","",IFERROR(INDEX(Cilësimet!$B$6:$B$10,MATCH($F423,Cilësimet!$A$6:$A$10,0)),""))</f>
        <v/>
      </c>
    </row>
    <row r="424" customFormat="false" ht="18.75" hidden="false" customHeight="true" outlineLevel="0" collapsed="false">
      <c r="A424" s="1"/>
      <c r="B424" s="17"/>
      <c r="C424" s="18"/>
      <c r="D424" s="18"/>
      <c r="E424" s="19"/>
      <c r="F424" s="20"/>
      <c r="G424" s="21" t="str">
        <f aca="false">IF($AB424="","",Cilësimet!$C$3*(INDEX(Cilësimet!$C$6:$C$10,MATCH($F424,Cilësimet!$A$6:$A$10,0))*N($E424)+INDEX(Cilësimet!$D$6:$D$10,MATCH($F424,Cilësimet!$A$6:$A$10,0))))</f>
        <v/>
      </c>
      <c r="H424" s="22" t="str">
        <f aca="false">IF($Z424=1,$AA424-1,"")</f>
        <v/>
      </c>
      <c r="I424" s="23"/>
      <c r="J424" s="1"/>
      <c r="K424" s="1"/>
      <c r="L424" s="1"/>
      <c r="M424" s="1"/>
      <c r="N424" s="1"/>
      <c r="O424" s="1"/>
      <c r="P424" s="1"/>
      <c r="Q424" s="1"/>
      <c r="R424" s="1"/>
      <c r="S424" s="1"/>
      <c r="Z424" s="24" t="n">
        <f aca="false">IF($AB424="",0,IF(ISNUMBER($B424),IF(AND($B424&gt;=N($B$3),OR(NOT(ISNUMBER($D$3)),$B424&lt;=$D$3)),1,0),1))</f>
        <v>0</v>
      </c>
      <c r="AA424" s="24" t="n">
        <f aca="false">$AA423*(1+IF($Z424=1,N($G424),0))</f>
        <v>1.0035</v>
      </c>
      <c r="AB424" s="0" t="str">
        <f aca="false">IF($F424="","",IFERROR(INDEX(Cilësimet!$B$6:$B$10,MATCH($F424,Cilësimet!$A$6:$A$10,0)),""))</f>
        <v/>
      </c>
    </row>
    <row r="425" customFormat="false" ht="18.75" hidden="false" customHeight="true" outlineLevel="0" collapsed="false">
      <c r="A425" s="1"/>
      <c r="B425" s="17"/>
      <c r="C425" s="18"/>
      <c r="D425" s="18"/>
      <c r="E425" s="19"/>
      <c r="F425" s="20"/>
      <c r="G425" s="21" t="str">
        <f aca="false">IF($AB425="","",Cilësimet!$C$3*(INDEX(Cilësimet!$C$6:$C$10,MATCH($F425,Cilësimet!$A$6:$A$10,0))*N($E425)+INDEX(Cilësimet!$D$6:$D$10,MATCH($F425,Cilësimet!$A$6:$A$10,0))))</f>
        <v/>
      </c>
      <c r="H425" s="22" t="str">
        <f aca="false">IF($Z425=1,$AA425-1,"")</f>
        <v/>
      </c>
      <c r="I425" s="23"/>
      <c r="J425" s="1"/>
      <c r="K425" s="1"/>
      <c r="L425" s="1"/>
      <c r="M425" s="1"/>
      <c r="N425" s="1"/>
      <c r="O425" s="1"/>
      <c r="P425" s="1"/>
      <c r="Q425" s="1"/>
      <c r="R425" s="1"/>
      <c r="S425" s="1"/>
      <c r="Z425" s="24" t="n">
        <f aca="false">IF($AB425="",0,IF(ISNUMBER($B425),IF(AND($B425&gt;=N($B$3),OR(NOT(ISNUMBER($D$3)),$B425&lt;=$D$3)),1,0),1))</f>
        <v>0</v>
      </c>
      <c r="AA425" s="24" t="n">
        <f aca="false">$AA424*(1+IF($Z425=1,N($G425),0))</f>
        <v>1.0035</v>
      </c>
      <c r="AB425" s="0" t="str">
        <f aca="false">IF($F425="","",IFERROR(INDEX(Cilësimet!$B$6:$B$10,MATCH($F425,Cilësimet!$A$6:$A$10,0)),""))</f>
        <v/>
      </c>
    </row>
    <row r="426" customFormat="false" ht="18.75" hidden="false" customHeight="true" outlineLevel="0" collapsed="false">
      <c r="A426" s="1"/>
      <c r="B426" s="17"/>
      <c r="C426" s="18"/>
      <c r="D426" s="18"/>
      <c r="E426" s="19"/>
      <c r="F426" s="20"/>
      <c r="G426" s="21" t="str">
        <f aca="false">IF($AB426="","",Cilësimet!$C$3*(INDEX(Cilësimet!$C$6:$C$10,MATCH($F426,Cilësimet!$A$6:$A$10,0))*N($E426)+INDEX(Cilësimet!$D$6:$D$10,MATCH($F426,Cilësimet!$A$6:$A$10,0))))</f>
        <v/>
      </c>
      <c r="H426" s="22" t="str">
        <f aca="false">IF($Z426=1,$AA426-1,"")</f>
        <v/>
      </c>
      <c r="I426" s="23"/>
      <c r="J426" s="1"/>
      <c r="K426" s="1"/>
      <c r="L426" s="1"/>
      <c r="M426" s="1"/>
      <c r="N426" s="1"/>
      <c r="O426" s="1"/>
      <c r="P426" s="1"/>
      <c r="Q426" s="1"/>
      <c r="R426" s="1"/>
      <c r="S426" s="1"/>
      <c r="Z426" s="24" t="n">
        <f aca="false">IF($AB426="",0,IF(ISNUMBER($B426),IF(AND($B426&gt;=N($B$3),OR(NOT(ISNUMBER($D$3)),$B426&lt;=$D$3)),1,0),1))</f>
        <v>0</v>
      </c>
      <c r="AA426" s="24" t="n">
        <f aca="false">$AA425*(1+IF($Z426=1,N($G426),0))</f>
        <v>1.0035</v>
      </c>
      <c r="AB426" s="0" t="str">
        <f aca="false">IF($F426="","",IFERROR(INDEX(Cilësimet!$B$6:$B$10,MATCH($F426,Cilësimet!$A$6:$A$10,0)),""))</f>
        <v/>
      </c>
    </row>
    <row r="427" customFormat="false" ht="18.75" hidden="false" customHeight="true" outlineLevel="0" collapsed="false">
      <c r="A427" s="1"/>
      <c r="B427" s="17"/>
      <c r="C427" s="18"/>
      <c r="D427" s="18"/>
      <c r="E427" s="19"/>
      <c r="F427" s="20"/>
      <c r="G427" s="21" t="str">
        <f aca="false">IF($AB427="","",Cilësimet!$C$3*(INDEX(Cilësimet!$C$6:$C$10,MATCH($F427,Cilësimet!$A$6:$A$10,0))*N($E427)+INDEX(Cilësimet!$D$6:$D$10,MATCH($F427,Cilësimet!$A$6:$A$10,0))))</f>
        <v/>
      </c>
      <c r="H427" s="22" t="str">
        <f aca="false">IF($Z427=1,$AA427-1,"")</f>
        <v/>
      </c>
      <c r="I427" s="23"/>
      <c r="J427" s="1"/>
      <c r="K427" s="1"/>
      <c r="L427" s="1"/>
      <c r="M427" s="1"/>
      <c r="N427" s="1"/>
      <c r="O427" s="1"/>
      <c r="P427" s="1"/>
      <c r="Q427" s="1"/>
      <c r="R427" s="1"/>
      <c r="S427" s="1"/>
      <c r="Z427" s="24" t="n">
        <f aca="false">IF($AB427="",0,IF(ISNUMBER($B427),IF(AND($B427&gt;=N($B$3),OR(NOT(ISNUMBER($D$3)),$B427&lt;=$D$3)),1,0),1))</f>
        <v>0</v>
      </c>
      <c r="AA427" s="24" t="n">
        <f aca="false">$AA426*(1+IF($Z427=1,N($G427),0))</f>
        <v>1.0035</v>
      </c>
      <c r="AB427" s="0" t="str">
        <f aca="false">IF($F427="","",IFERROR(INDEX(Cilësimet!$B$6:$B$10,MATCH($F427,Cilësimet!$A$6:$A$10,0)),""))</f>
        <v/>
      </c>
    </row>
    <row r="428" customFormat="false" ht="18.75" hidden="false" customHeight="true" outlineLevel="0" collapsed="false">
      <c r="A428" s="1"/>
      <c r="B428" s="17"/>
      <c r="C428" s="18"/>
      <c r="D428" s="18"/>
      <c r="E428" s="19"/>
      <c r="F428" s="20"/>
      <c r="G428" s="21" t="str">
        <f aca="false">IF($AB428="","",Cilësimet!$C$3*(INDEX(Cilësimet!$C$6:$C$10,MATCH($F428,Cilësimet!$A$6:$A$10,0))*N($E428)+INDEX(Cilësimet!$D$6:$D$10,MATCH($F428,Cilësimet!$A$6:$A$10,0))))</f>
        <v/>
      </c>
      <c r="H428" s="22" t="str">
        <f aca="false">IF($Z428=1,$AA428-1,"")</f>
        <v/>
      </c>
      <c r="I428" s="23"/>
      <c r="J428" s="1"/>
      <c r="K428" s="1"/>
      <c r="L428" s="1"/>
      <c r="M428" s="1"/>
      <c r="N428" s="1"/>
      <c r="O428" s="1"/>
      <c r="P428" s="1"/>
      <c r="Q428" s="1"/>
      <c r="R428" s="1"/>
      <c r="S428" s="1"/>
      <c r="Z428" s="24" t="n">
        <f aca="false">IF($AB428="",0,IF(ISNUMBER($B428),IF(AND($B428&gt;=N($B$3),OR(NOT(ISNUMBER($D$3)),$B428&lt;=$D$3)),1,0),1))</f>
        <v>0</v>
      </c>
      <c r="AA428" s="24" t="n">
        <f aca="false">$AA427*(1+IF($Z428=1,N($G428),0))</f>
        <v>1.0035</v>
      </c>
      <c r="AB428" s="0" t="str">
        <f aca="false">IF($F428="","",IFERROR(INDEX(Cilësimet!$B$6:$B$10,MATCH($F428,Cilësimet!$A$6:$A$10,0)),""))</f>
        <v/>
      </c>
    </row>
    <row r="429" customFormat="false" ht="18.75" hidden="false" customHeight="true" outlineLevel="0" collapsed="false">
      <c r="A429" s="1"/>
      <c r="B429" s="17"/>
      <c r="C429" s="18"/>
      <c r="D429" s="18"/>
      <c r="E429" s="19"/>
      <c r="F429" s="20"/>
      <c r="G429" s="21" t="str">
        <f aca="false">IF($AB429="","",Cilësimet!$C$3*(INDEX(Cilësimet!$C$6:$C$10,MATCH($F429,Cilësimet!$A$6:$A$10,0))*N($E429)+INDEX(Cilësimet!$D$6:$D$10,MATCH($F429,Cilësimet!$A$6:$A$10,0))))</f>
        <v/>
      </c>
      <c r="H429" s="22" t="str">
        <f aca="false">IF($Z429=1,$AA429-1,"")</f>
        <v/>
      </c>
      <c r="I429" s="23"/>
      <c r="J429" s="1"/>
      <c r="K429" s="1"/>
      <c r="L429" s="1"/>
      <c r="M429" s="1"/>
      <c r="N429" s="1"/>
      <c r="O429" s="1"/>
      <c r="P429" s="1"/>
      <c r="Q429" s="1"/>
      <c r="R429" s="1"/>
      <c r="S429" s="1"/>
      <c r="Z429" s="24" t="n">
        <f aca="false">IF($AB429="",0,IF(ISNUMBER($B429),IF(AND($B429&gt;=N($B$3),OR(NOT(ISNUMBER($D$3)),$B429&lt;=$D$3)),1,0),1))</f>
        <v>0</v>
      </c>
      <c r="AA429" s="24" t="n">
        <f aca="false">$AA428*(1+IF($Z429=1,N($G429),0))</f>
        <v>1.0035</v>
      </c>
      <c r="AB429" s="0" t="str">
        <f aca="false">IF($F429="","",IFERROR(INDEX(Cilësimet!$B$6:$B$10,MATCH($F429,Cilësimet!$A$6:$A$10,0)),""))</f>
        <v/>
      </c>
    </row>
    <row r="430" customFormat="false" ht="18.75" hidden="false" customHeight="true" outlineLevel="0" collapsed="false">
      <c r="A430" s="1"/>
      <c r="B430" s="17"/>
      <c r="C430" s="18"/>
      <c r="D430" s="18"/>
      <c r="E430" s="19"/>
      <c r="F430" s="20"/>
      <c r="G430" s="21" t="str">
        <f aca="false">IF($AB430="","",Cilësimet!$C$3*(INDEX(Cilësimet!$C$6:$C$10,MATCH($F430,Cilësimet!$A$6:$A$10,0))*N($E430)+INDEX(Cilësimet!$D$6:$D$10,MATCH($F430,Cilësimet!$A$6:$A$10,0))))</f>
        <v/>
      </c>
      <c r="H430" s="22" t="str">
        <f aca="false">IF($Z430=1,$AA430-1,"")</f>
        <v/>
      </c>
      <c r="I430" s="23"/>
      <c r="J430" s="1"/>
      <c r="K430" s="1"/>
      <c r="L430" s="1"/>
      <c r="M430" s="1"/>
      <c r="N430" s="1"/>
      <c r="O430" s="1"/>
      <c r="P430" s="1"/>
      <c r="Q430" s="1"/>
      <c r="R430" s="1"/>
      <c r="S430" s="1"/>
      <c r="Z430" s="24" t="n">
        <f aca="false">IF($AB430="",0,IF(ISNUMBER($B430),IF(AND($B430&gt;=N($B$3),OR(NOT(ISNUMBER($D$3)),$B430&lt;=$D$3)),1,0),1))</f>
        <v>0</v>
      </c>
      <c r="AA430" s="24" t="n">
        <f aca="false">$AA429*(1+IF($Z430=1,N($G430),0))</f>
        <v>1.0035</v>
      </c>
      <c r="AB430" s="0" t="str">
        <f aca="false">IF($F430="","",IFERROR(INDEX(Cilësimet!$B$6:$B$10,MATCH($F430,Cilësimet!$A$6:$A$10,0)),""))</f>
        <v/>
      </c>
    </row>
    <row r="431" customFormat="false" ht="18.75" hidden="false" customHeight="true" outlineLevel="0" collapsed="false">
      <c r="A431" s="1"/>
      <c r="B431" s="17"/>
      <c r="C431" s="18"/>
      <c r="D431" s="18"/>
      <c r="E431" s="19"/>
      <c r="F431" s="20"/>
      <c r="G431" s="21" t="str">
        <f aca="false">IF($AB431="","",Cilësimet!$C$3*(INDEX(Cilësimet!$C$6:$C$10,MATCH($F431,Cilësimet!$A$6:$A$10,0))*N($E431)+INDEX(Cilësimet!$D$6:$D$10,MATCH($F431,Cilësimet!$A$6:$A$10,0))))</f>
        <v/>
      </c>
      <c r="H431" s="22" t="str">
        <f aca="false">IF($Z431=1,$AA431-1,"")</f>
        <v/>
      </c>
      <c r="I431" s="23"/>
      <c r="J431" s="1"/>
      <c r="K431" s="1"/>
      <c r="L431" s="1"/>
      <c r="M431" s="1"/>
      <c r="N431" s="1"/>
      <c r="O431" s="1"/>
      <c r="P431" s="1"/>
      <c r="Q431" s="1"/>
      <c r="R431" s="1"/>
      <c r="S431" s="1"/>
      <c r="Z431" s="24" t="n">
        <f aca="false">IF($AB431="",0,IF(ISNUMBER($B431),IF(AND($B431&gt;=N($B$3),OR(NOT(ISNUMBER($D$3)),$B431&lt;=$D$3)),1,0),1))</f>
        <v>0</v>
      </c>
      <c r="AA431" s="24" t="n">
        <f aca="false">$AA430*(1+IF($Z431=1,N($G431),0))</f>
        <v>1.0035</v>
      </c>
      <c r="AB431" s="0" t="str">
        <f aca="false">IF($F431="","",IFERROR(INDEX(Cilësimet!$B$6:$B$10,MATCH($F431,Cilësimet!$A$6:$A$10,0)),""))</f>
        <v/>
      </c>
    </row>
    <row r="432" customFormat="false" ht="18.75" hidden="false" customHeight="true" outlineLevel="0" collapsed="false">
      <c r="A432" s="1"/>
      <c r="B432" s="17"/>
      <c r="C432" s="18"/>
      <c r="D432" s="18"/>
      <c r="E432" s="19"/>
      <c r="F432" s="20"/>
      <c r="G432" s="21" t="str">
        <f aca="false">IF($AB432="","",Cilësimet!$C$3*(INDEX(Cilësimet!$C$6:$C$10,MATCH($F432,Cilësimet!$A$6:$A$10,0))*N($E432)+INDEX(Cilësimet!$D$6:$D$10,MATCH($F432,Cilësimet!$A$6:$A$10,0))))</f>
        <v/>
      </c>
      <c r="H432" s="22" t="str">
        <f aca="false">IF($Z432=1,$AA432-1,"")</f>
        <v/>
      </c>
      <c r="I432" s="23"/>
      <c r="J432" s="1"/>
      <c r="K432" s="1"/>
      <c r="L432" s="1"/>
      <c r="M432" s="1"/>
      <c r="N432" s="1"/>
      <c r="O432" s="1"/>
      <c r="P432" s="1"/>
      <c r="Q432" s="1"/>
      <c r="R432" s="1"/>
      <c r="S432" s="1"/>
      <c r="Z432" s="24" t="n">
        <f aca="false">IF($AB432="",0,IF(ISNUMBER($B432),IF(AND($B432&gt;=N($B$3),OR(NOT(ISNUMBER($D$3)),$B432&lt;=$D$3)),1,0),1))</f>
        <v>0</v>
      </c>
      <c r="AA432" s="24" t="n">
        <f aca="false">$AA431*(1+IF($Z432=1,N($G432),0))</f>
        <v>1.0035</v>
      </c>
      <c r="AB432" s="0" t="str">
        <f aca="false">IF($F432="","",IFERROR(INDEX(Cilësimet!$B$6:$B$10,MATCH($F432,Cilësimet!$A$6:$A$10,0)),""))</f>
        <v/>
      </c>
    </row>
    <row r="433" customFormat="false" ht="18.75" hidden="false" customHeight="true" outlineLevel="0" collapsed="false">
      <c r="A433" s="1"/>
      <c r="B433" s="17"/>
      <c r="C433" s="18"/>
      <c r="D433" s="18"/>
      <c r="E433" s="19"/>
      <c r="F433" s="20"/>
      <c r="G433" s="21" t="str">
        <f aca="false">IF($AB433="","",Cilësimet!$C$3*(INDEX(Cilësimet!$C$6:$C$10,MATCH($F433,Cilësimet!$A$6:$A$10,0))*N($E433)+INDEX(Cilësimet!$D$6:$D$10,MATCH($F433,Cilësimet!$A$6:$A$10,0))))</f>
        <v/>
      </c>
      <c r="H433" s="22" t="str">
        <f aca="false">IF($Z433=1,$AA433-1,"")</f>
        <v/>
      </c>
      <c r="I433" s="23"/>
      <c r="J433" s="1"/>
      <c r="K433" s="1"/>
      <c r="L433" s="1"/>
      <c r="M433" s="1"/>
      <c r="N433" s="1"/>
      <c r="O433" s="1"/>
      <c r="P433" s="1"/>
      <c r="Q433" s="1"/>
      <c r="R433" s="1"/>
      <c r="S433" s="1"/>
      <c r="Z433" s="24" t="n">
        <f aca="false">IF($AB433="",0,IF(ISNUMBER($B433),IF(AND($B433&gt;=N($B$3),OR(NOT(ISNUMBER($D$3)),$B433&lt;=$D$3)),1,0),1))</f>
        <v>0</v>
      </c>
      <c r="AA433" s="24" t="n">
        <f aca="false">$AA432*(1+IF($Z433=1,N($G433),0))</f>
        <v>1.0035</v>
      </c>
      <c r="AB433" s="0" t="str">
        <f aca="false">IF($F433="","",IFERROR(INDEX(Cilësimet!$B$6:$B$10,MATCH($F433,Cilësimet!$A$6:$A$10,0)),""))</f>
        <v/>
      </c>
    </row>
    <row r="434" customFormat="false" ht="18.75" hidden="false" customHeight="true" outlineLevel="0" collapsed="false">
      <c r="A434" s="1"/>
      <c r="B434" s="17"/>
      <c r="C434" s="18"/>
      <c r="D434" s="18"/>
      <c r="E434" s="19"/>
      <c r="F434" s="20"/>
      <c r="G434" s="21" t="str">
        <f aca="false">IF($AB434="","",Cilësimet!$C$3*(INDEX(Cilësimet!$C$6:$C$10,MATCH($F434,Cilësimet!$A$6:$A$10,0))*N($E434)+INDEX(Cilësimet!$D$6:$D$10,MATCH($F434,Cilësimet!$A$6:$A$10,0))))</f>
        <v/>
      </c>
      <c r="H434" s="22" t="str">
        <f aca="false">IF($Z434=1,$AA434-1,"")</f>
        <v/>
      </c>
      <c r="I434" s="23"/>
      <c r="J434" s="1"/>
      <c r="K434" s="1"/>
      <c r="L434" s="1"/>
      <c r="M434" s="1"/>
      <c r="N434" s="1"/>
      <c r="O434" s="1"/>
      <c r="P434" s="1"/>
      <c r="Q434" s="1"/>
      <c r="R434" s="1"/>
      <c r="S434" s="1"/>
      <c r="Z434" s="24" t="n">
        <f aca="false">IF($AB434="",0,IF(ISNUMBER($B434),IF(AND($B434&gt;=N($B$3),OR(NOT(ISNUMBER($D$3)),$B434&lt;=$D$3)),1,0),1))</f>
        <v>0</v>
      </c>
      <c r="AA434" s="24" t="n">
        <f aca="false">$AA433*(1+IF($Z434=1,N($G434),0))</f>
        <v>1.0035</v>
      </c>
      <c r="AB434" s="0" t="str">
        <f aca="false">IF($F434="","",IFERROR(INDEX(Cilësimet!$B$6:$B$10,MATCH($F434,Cilësimet!$A$6:$A$10,0)),""))</f>
        <v/>
      </c>
    </row>
    <row r="435" customFormat="false" ht="18.75" hidden="false" customHeight="true" outlineLevel="0" collapsed="false">
      <c r="A435" s="1"/>
      <c r="B435" s="17"/>
      <c r="C435" s="18"/>
      <c r="D435" s="18"/>
      <c r="E435" s="19"/>
      <c r="F435" s="20"/>
      <c r="G435" s="21" t="str">
        <f aca="false">IF($AB435="","",Cilësimet!$C$3*(INDEX(Cilësimet!$C$6:$C$10,MATCH($F435,Cilësimet!$A$6:$A$10,0))*N($E435)+INDEX(Cilësimet!$D$6:$D$10,MATCH($F435,Cilësimet!$A$6:$A$10,0))))</f>
        <v/>
      </c>
      <c r="H435" s="22" t="str">
        <f aca="false">IF($Z435=1,$AA435-1,"")</f>
        <v/>
      </c>
      <c r="I435" s="23"/>
      <c r="J435" s="1"/>
      <c r="K435" s="1"/>
      <c r="L435" s="1"/>
      <c r="M435" s="1"/>
      <c r="N435" s="1"/>
      <c r="O435" s="1"/>
      <c r="P435" s="1"/>
      <c r="Q435" s="1"/>
      <c r="R435" s="1"/>
      <c r="S435" s="1"/>
      <c r="Z435" s="24" t="n">
        <f aca="false">IF($AB435="",0,IF(ISNUMBER($B435),IF(AND($B435&gt;=N($B$3),OR(NOT(ISNUMBER($D$3)),$B435&lt;=$D$3)),1,0),1))</f>
        <v>0</v>
      </c>
      <c r="AA435" s="24" t="n">
        <f aca="false">$AA434*(1+IF($Z435=1,N($G435),0))</f>
        <v>1.0035</v>
      </c>
      <c r="AB435" s="0" t="str">
        <f aca="false">IF($F435="","",IFERROR(INDEX(Cilësimet!$B$6:$B$10,MATCH($F435,Cilësimet!$A$6:$A$10,0)),""))</f>
        <v/>
      </c>
    </row>
    <row r="436" customFormat="false" ht="18.75" hidden="false" customHeight="true" outlineLevel="0" collapsed="false">
      <c r="A436" s="1"/>
      <c r="B436" s="17"/>
      <c r="C436" s="18"/>
      <c r="D436" s="18"/>
      <c r="E436" s="19"/>
      <c r="F436" s="20"/>
      <c r="G436" s="21" t="str">
        <f aca="false">IF($AB436="","",Cilësimet!$C$3*(INDEX(Cilësimet!$C$6:$C$10,MATCH($F436,Cilësimet!$A$6:$A$10,0))*N($E436)+INDEX(Cilësimet!$D$6:$D$10,MATCH($F436,Cilësimet!$A$6:$A$10,0))))</f>
        <v/>
      </c>
      <c r="H436" s="22" t="str">
        <f aca="false">IF($Z436=1,$AA436-1,"")</f>
        <v/>
      </c>
      <c r="I436" s="23"/>
      <c r="J436" s="1"/>
      <c r="K436" s="1"/>
      <c r="L436" s="1"/>
      <c r="M436" s="1"/>
      <c r="N436" s="1"/>
      <c r="O436" s="1"/>
      <c r="P436" s="1"/>
      <c r="Q436" s="1"/>
      <c r="R436" s="1"/>
      <c r="S436" s="1"/>
      <c r="Z436" s="24" t="n">
        <f aca="false">IF($AB436="",0,IF(ISNUMBER($B436),IF(AND($B436&gt;=N($B$3),OR(NOT(ISNUMBER($D$3)),$B436&lt;=$D$3)),1,0),1))</f>
        <v>0</v>
      </c>
      <c r="AA436" s="24" t="n">
        <f aca="false">$AA435*(1+IF($Z436=1,N($G436),0))</f>
        <v>1.0035</v>
      </c>
      <c r="AB436" s="0" t="str">
        <f aca="false">IF($F436="","",IFERROR(INDEX(Cilësimet!$B$6:$B$10,MATCH($F436,Cilësimet!$A$6:$A$10,0)),""))</f>
        <v/>
      </c>
    </row>
    <row r="437" customFormat="false" ht="18.75" hidden="false" customHeight="true" outlineLevel="0" collapsed="false">
      <c r="A437" s="1"/>
      <c r="B437" s="17"/>
      <c r="C437" s="18"/>
      <c r="D437" s="18"/>
      <c r="E437" s="19"/>
      <c r="F437" s="20"/>
      <c r="G437" s="21" t="str">
        <f aca="false">IF($AB437="","",Cilësimet!$C$3*(INDEX(Cilësimet!$C$6:$C$10,MATCH($F437,Cilësimet!$A$6:$A$10,0))*N($E437)+INDEX(Cilësimet!$D$6:$D$10,MATCH($F437,Cilësimet!$A$6:$A$10,0))))</f>
        <v/>
      </c>
      <c r="H437" s="22" t="str">
        <f aca="false">IF($Z437=1,$AA437-1,"")</f>
        <v/>
      </c>
      <c r="I437" s="23"/>
      <c r="J437" s="1"/>
      <c r="K437" s="1"/>
      <c r="L437" s="1"/>
      <c r="M437" s="1"/>
      <c r="N437" s="1"/>
      <c r="O437" s="1"/>
      <c r="P437" s="1"/>
      <c r="Q437" s="1"/>
      <c r="R437" s="1"/>
      <c r="S437" s="1"/>
      <c r="Z437" s="24" t="n">
        <f aca="false">IF($AB437="",0,IF(ISNUMBER($B437),IF(AND($B437&gt;=N($B$3),OR(NOT(ISNUMBER($D$3)),$B437&lt;=$D$3)),1,0),1))</f>
        <v>0</v>
      </c>
      <c r="AA437" s="24" t="n">
        <f aca="false">$AA436*(1+IF($Z437=1,N($G437),0))</f>
        <v>1.0035</v>
      </c>
      <c r="AB437" s="0" t="str">
        <f aca="false">IF($F437="","",IFERROR(INDEX(Cilësimet!$B$6:$B$10,MATCH($F437,Cilësimet!$A$6:$A$10,0)),""))</f>
        <v/>
      </c>
    </row>
    <row r="438" customFormat="false" ht="18.75" hidden="false" customHeight="true" outlineLevel="0" collapsed="false">
      <c r="A438" s="1"/>
      <c r="B438" s="17"/>
      <c r="C438" s="18"/>
      <c r="D438" s="18"/>
      <c r="E438" s="19"/>
      <c r="F438" s="20"/>
      <c r="G438" s="21" t="str">
        <f aca="false">IF($AB438="","",Cilësimet!$C$3*(INDEX(Cilësimet!$C$6:$C$10,MATCH($F438,Cilësimet!$A$6:$A$10,0))*N($E438)+INDEX(Cilësimet!$D$6:$D$10,MATCH($F438,Cilësimet!$A$6:$A$10,0))))</f>
        <v/>
      </c>
      <c r="H438" s="22" t="str">
        <f aca="false">IF($Z438=1,$AA438-1,"")</f>
        <v/>
      </c>
      <c r="I438" s="23"/>
      <c r="J438" s="1"/>
      <c r="K438" s="1"/>
      <c r="L438" s="1"/>
      <c r="M438" s="1"/>
      <c r="N438" s="1"/>
      <c r="O438" s="1"/>
      <c r="P438" s="1"/>
      <c r="Q438" s="1"/>
      <c r="R438" s="1"/>
      <c r="S438" s="1"/>
      <c r="Z438" s="24" t="n">
        <f aca="false">IF($AB438="",0,IF(ISNUMBER($B438),IF(AND($B438&gt;=N($B$3),OR(NOT(ISNUMBER($D$3)),$B438&lt;=$D$3)),1,0),1))</f>
        <v>0</v>
      </c>
      <c r="AA438" s="24" t="n">
        <f aca="false">$AA437*(1+IF($Z438=1,N($G438),0))</f>
        <v>1.0035</v>
      </c>
      <c r="AB438" s="0" t="str">
        <f aca="false">IF($F438="","",IFERROR(INDEX(Cilësimet!$B$6:$B$10,MATCH($F438,Cilësimet!$A$6:$A$10,0)),""))</f>
        <v/>
      </c>
    </row>
    <row r="439" customFormat="false" ht="18.75" hidden="false" customHeight="true" outlineLevel="0" collapsed="false">
      <c r="A439" s="1"/>
      <c r="B439" s="17"/>
      <c r="C439" s="18"/>
      <c r="D439" s="18"/>
      <c r="E439" s="19"/>
      <c r="F439" s="20"/>
      <c r="G439" s="21" t="str">
        <f aca="false">IF($AB439="","",Cilësimet!$C$3*(INDEX(Cilësimet!$C$6:$C$10,MATCH($F439,Cilësimet!$A$6:$A$10,0))*N($E439)+INDEX(Cilësimet!$D$6:$D$10,MATCH($F439,Cilësimet!$A$6:$A$10,0))))</f>
        <v/>
      </c>
      <c r="H439" s="22" t="str">
        <f aca="false">IF($Z439=1,$AA439-1,"")</f>
        <v/>
      </c>
      <c r="I439" s="23"/>
      <c r="J439" s="1"/>
      <c r="K439" s="1"/>
      <c r="L439" s="1"/>
      <c r="M439" s="1"/>
      <c r="N439" s="1"/>
      <c r="O439" s="1"/>
      <c r="P439" s="1"/>
      <c r="Q439" s="1"/>
      <c r="R439" s="1"/>
      <c r="S439" s="1"/>
      <c r="Z439" s="24" t="n">
        <f aca="false">IF($AB439="",0,IF(ISNUMBER($B439),IF(AND($B439&gt;=N($B$3),OR(NOT(ISNUMBER($D$3)),$B439&lt;=$D$3)),1,0),1))</f>
        <v>0</v>
      </c>
      <c r="AA439" s="24" t="n">
        <f aca="false">$AA438*(1+IF($Z439=1,N($G439),0))</f>
        <v>1.0035</v>
      </c>
      <c r="AB439" s="0" t="str">
        <f aca="false">IF($F439="","",IFERROR(INDEX(Cilësimet!$B$6:$B$10,MATCH($F439,Cilësimet!$A$6:$A$10,0)),""))</f>
        <v/>
      </c>
    </row>
    <row r="440" customFormat="false" ht="18.75" hidden="false" customHeight="true" outlineLevel="0" collapsed="false">
      <c r="A440" s="1"/>
      <c r="B440" s="17"/>
      <c r="C440" s="18"/>
      <c r="D440" s="18"/>
      <c r="E440" s="19"/>
      <c r="F440" s="20"/>
      <c r="G440" s="21" t="str">
        <f aca="false">IF($AB440="","",Cilësimet!$C$3*(INDEX(Cilësimet!$C$6:$C$10,MATCH($F440,Cilësimet!$A$6:$A$10,0))*N($E440)+INDEX(Cilësimet!$D$6:$D$10,MATCH($F440,Cilësimet!$A$6:$A$10,0))))</f>
        <v/>
      </c>
      <c r="H440" s="22" t="str">
        <f aca="false">IF($Z440=1,$AA440-1,"")</f>
        <v/>
      </c>
      <c r="I440" s="23"/>
      <c r="J440" s="1"/>
      <c r="K440" s="1"/>
      <c r="L440" s="1"/>
      <c r="M440" s="1"/>
      <c r="N440" s="1"/>
      <c r="O440" s="1"/>
      <c r="P440" s="1"/>
      <c r="Q440" s="1"/>
      <c r="R440" s="1"/>
      <c r="S440" s="1"/>
      <c r="Z440" s="24" t="n">
        <f aca="false">IF($AB440="",0,IF(ISNUMBER($B440),IF(AND($B440&gt;=N($B$3),OR(NOT(ISNUMBER($D$3)),$B440&lt;=$D$3)),1,0),1))</f>
        <v>0</v>
      </c>
      <c r="AA440" s="24" t="n">
        <f aca="false">$AA439*(1+IF($Z440=1,N($G440),0))</f>
        <v>1.0035</v>
      </c>
      <c r="AB440" s="0" t="str">
        <f aca="false">IF($F440="","",IFERROR(INDEX(Cilësimet!$B$6:$B$10,MATCH($F440,Cilësimet!$A$6:$A$10,0)),""))</f>
        <v/>
      </c>
    </row>
    <row r="441" customFormat="false" ht="18.75" hidden="false" customHeight="true" outlineLevel="0" collapsed="false">
      <c r="A441" s="1"/>
      <c r="B441" s="17"/>
      <c r="C441" s="18"/>
      <c r="D441" s="18"/>
      <c r="E441" s="19"/>
      <c r="F441" s="20"/>
      <c r="G441" s="21" t="str">
        <f aca="false">IF($AB441="","",Cilësimet!$C$3*(INDEX(Cilësimet!$C$6:$C$10,MATCH($F441,Cilësimet!$A$6:$A$10,0))*N($E441)+INDEX(Cilësimet!$D$6:$D$10,MATCH($F441,Cilësimet!$A$6:$A$10,0))))</f>
        <v/>
      </c>
      <c r="H441" s="22" t="str">
        <f aca="false">IF($Z441=1,$AA441-1,"")</f>
        <v/>
      </c>
      <c r="I441" s="23"/>
      <c r="J441" s="1"/>
      <c r="K441" s="1"/>
      <c r="L441" s="1"/>
      <c r="M441" s="1"/>
      <c r="N441" s="1"/>
      <c r="O441" s="1"/>
      <c r="P441" s="1"/>
      <c r="Q441" s="1"/>
      <c r="R441" s="1"/>
      <c r="S441" s="1"/>
      <c r="Z441" s="24" t="n">
        <f aca="false">IF($AB441="",0,IF(ISNUMBER($B441),IF(AND($B441&gt;=N($B$3),OR(NOT(ISNUMBER($D$3)),$B441&lt;=$D$3)),1,0),1))</f>
        <v>0</v>
      </c>
      <c r="AA441" s="24" t="n">
        <f aca="false">$AA440*(1+IF($Z441=1,N($G441),0))</f>
        <v>1.0035</v>
      </c>
      <c r="AB441" s="0" t="str">
        <f aca="false">IF($F441="","",IFERROR(INDEX(Cilësimet!$B$6:$B$10,MATCH($F441,Cilësimet!$A$6:$A$10,0)),""))</f>
        <v/>
      </c>
    </row>
    <row r="442" customFormat="false" ht="18.75" hidden="false" customHeight="true" outlineLevel="0" collapsed="false">
      <c r="A442" s="1"/>
      <c r="B442" s="17"/>
      <c r="C442" s="18"/>
      <c r="D442" s="18"/>
      <c r="E442" s="19"/>
      <c r="F442" s="20"/>
      <c r="G442" s="21" t="str">
        <f aca="false">IF($AB442="","",Cilësimet!$C$3*(INDEX(Cilësimet!$C$6:$C$10,MATCH($F442,Cilësimet!$A$6:$A$10,0))*N($E442)+INDEX(Cilësimet!$D$6:$D$10,MATCH($F442,Cilësimet!$A$6:$A$10,0))))</f>
        <v/>
      </c>
      <c r="H442" s="22" t="str">
        <f aca="false">IF($Z442=1,$AA442-1,"")</f>
        <v/>
      </c>
      <c r="I442" s="23"/>
      <c r="J442" s="1"/>
      <c r="K442" s="1"/>
      <c r="L442" s="1"/>
      <c r="M442" s="1"/>
      <c r="N442" s="1"/>
      <c r="O442" s="1"/>
      <c r="P442" s="1"/>
      <c r="Q442" s="1"/>
      <c r="R442" s="1"/>
      <c r="S442" s="1"/>
      <c r="Z442" s="24" t="n">
        <f aca="false">IF($AB442="",0,IF(ISNUMBER($B442),IF(AND($B442&gt;=N($B$3),OR(NOT(ISNUMBER($D$3)),$B442&lt;=$D$3)),1,0),1))</f>
        <v>0</v>
      </c>
      <c r="AA442" s="24" t="n">
        <f aca="false">$AA441*(1+IF($Z442=1,N($G442),0))</f>
        <v>1.0035</v>
      </c>
      <c r="AB442" s="0" t="str">
        <f aca="false">IF($F442="","",IFERROR(INDEX(Cilësimet!$B$6:$B$10,MATCH($F442,Cilësimet!$A$6:$A$10,0)),""))</f>
        <v/>
      </c>
    </row>
    <row r="443" customFormat="false" ht="18.75" hidden="false" customHeight="true" outlineLevel="0" collapsed="false">
      <c r="A443" s="1"/>
      <c r="B443" s="17"/>
      <c r="C443" s="18"/>
      <c r="D443" s="18"/>
      <c r="E443" s="19"/>
      <c r="F443" s="20"/>
      <c r="G443" s="21" t="str">
        <f aca="false">IF($AB443="","",Cilësimet!$C$3*(INDEX(Cilësimet!$C$6:$C$10,MATCH($F443,Cilësimet!$A$6:$A$10,0))*N($E443)+INDEX(Cilësimet!$D$6:$D$10,MATCH($F443,Cilësimet!$A$6:$A$10,0))))</f>
        <v/>
      </c>
      <c r="H443" s="22" t="str">
        <f aca="false">IF($Z443=1,$AA443-1,"")</f>
        <v/>
      </c>
      <c r="I443" s="23"/>
      <c r="J443" s="1"/>
      <c r="K443" s="1"/>
      <c r="L443" s="1"/>
      <c r="M443" s="1"/>
      <c r="N443" s="1"/>
      <c r="O443" s="1"/>
      <c r="P443" s="1"/>
      <c r="Q443" s="1"/>
      <c r="R443" s="1"/>
      <c r="S443" s="1"/>
      <c r="Z443" s="24" t="n">
        <f aca="false">IF($AB443="",0,IF(ISNUMBER($B443),IF(AND($B443&gt;=N($B$3),OR(NOT(ISNUMBER($D$3)),$B443&lt;=$D$3)),1,0),1))</f>
        <v>0</v>
      </c>
      <c r="AA443" s="24" t="n">
        <f aca="false">$AA442*(1+IF($Z443=1,N($G443),0))</f>
        <v>1.0035</v>
      </c>
      <c r="AB443" s="0" t="str">
        <f aca="false">IF($F443="","",IFERROR(INDEX(Cilësimet!$B$6:$B$10,MATCH($F443,Cilësimet!$A$6:$A$10,0)),""))</f>
        <v/>
      </c>
    </row>
    <row r="444" customFormat="false" ht="18.75" hidden="false" customHeight="true" outlineLevel="0" collapsed="false">
      <c r="A444" s="1"/>
      <c r="B444" s="17"/>
      <c r="C444" s="18"/>
      <c r="D444" s="18"/>
      <c r="E444" s="19"/>
      <c r="F444" s="20"/>
      <c r="G444" s="21" t="str">
        <f aca="false">IF($AB444="","",Cilësimet!$C$3*(INDEX(Cilësimet!$C$6:$C$10,MATCH($F444,Cilësimet!$A$6:$A$10,0))*N($E444)+INDEX(Cilësimet!$D$6:$D$10,MATCH($F444,Cilësimet!$A$6:$A$10,0))))</f>
        <v/>
      </c>
      <c r="H444" s="22" t="str">
        <f aca="false">IF($Z444=1,$AA444-1,"")</f>
        <v/>
      </c>
      <c r="I444" s="23"/>
      <c r="J444" s="1"/>
      <c r="K444" s="1"/>
      <c r="L444" s="1"/>
      <c r="M444" s="1"/>
      <c r="N444" s="1"/>
      <c r="O444" s="1"/>
      <c r="P444" s="1"/>
      <c r="Q444" s="1"/>
      <c r="R444" s="1"/>
      <c r="S444" s="1"/>
      <c r="Z444" s="24" t="n">
        <f aca="false">IF($AB444="",0,IF(ISNUMBER($B444),IF(AND($B444&gt;=N($B$3),OR(NOT(ISNUMBER($D$3)),$B444&lt;=$D$3)),1,0),1))</f>
        <v>0</v>
      </c>
      <c r="AA444" s="24" t="n">
        <f aca="false">$AA443*(1+IF($Z444=1,N($G444),0))</f>
        <v>1.0035</v>
      </c>
      <c r="AB444" s="0" t="str">
        <f aca="false">IF($F444="","",IFERROR(INDEX(Cilësimet!$B$6:$B$10,MATCH($F444,Cilësimet!$A$6:$A$10,0)),""))</f>
        <v/>
      </c>
    </row>
    <row r="445" customFormat="false" ht="18.75" hidden="false" customHeight="true" outlineLevel="0" collapsed="false">
      <c r="A445" s="1"/>
      <c r="B445" s="17"/>
      <c r="C445" s="18"/>
      <c r="D445" s="18"/>
      <c r="E445" s="19"/>
      <c r="F445" s="20"/>
      <c r="G445" s="21" t="str">
        <f aca="false">IF($AB445="","",Cilësimet!$C$3*(INDEX(Cilësimet!$C$6:$C$10,MATCH($F445,Cilësimet!$A$6:$A$10,0))*N($E445)+INDEX(Cilësimet!$D$6:$D$10,MATCH($F445,Cilësimet!$A$6:$A$10,0))))</f>
        <v/>
      </c>
      <c r="H445" s="22" t="str">
        <f aca="false">IF($Z445=1,$AA445-1,"")</f>
        <v/>
      </c>
      <c r="I445" s="23"/>
      <c r="J445" s="1"/>
      <c r="K445" s="1"/>
      <c r="L445" s="1"/>
      <c r="M445" s="1"/>
      <c r="N445" s="1"/>
      <c r="O445" s="1"/>
      <c r="P445" s="1"/>
      <c r="Q445" s="1"/>
      <c r="R445" s="1"/>
      <c r="S445" s="1"/>
      <c r="Z445" s="24" t="n">
        <f aca="false">IF($AB445="",0,IF(ISNUMBER($B445),IF(AND($B445&gt;=N($B$3),OR(NOT(ISNUMBER($D$3)),$B445&lt;=$D$3)),1,0),1))</f>
        <v>0</v>
      </c>
      <c r="AA445" s="24" t="n">
        <f aca="false">$AA444*(1+IF($Z445=1,N($G445),0))</f>
        <v>1.0035</v>
      </c>
      <c r="AB445" s="0" t="str">
        <f aca="false">IF($F445="","",IFERROR(INDEX(Cilësimet!$B$6:$B$10,MATCH($F445,Cilësimet!$A$6:$A$10,0)),""))</f>
        <v/>
      </c>
    </row>
    <row r="446" customFormat="false" ht="18.75" hidden="false" customHeight="true" outlineLevel="0" collapsed="false">
      <c r="A446" s="1"/>
      <c r="B446" s="17"/>
      <c r="C446" s="18"/>
      <c r="D446" s="18"/>
      <c r="E446" s="19"/>
      <c r="F446" s="20"/>
      <c r="G446" s="21" t="str">
        <f aca="false">IF($AB446="","",Cilësimet!$C$3*(INDEX(Cilësimet!$C$6:$C$10,MATCH($F446,Cilësimet!$A$6:$A$10,0))*N($E446)+INDEX(Cilësimet!$D$6:$D$10,MATCH($F446,Cilësimet!$A$6:$A$10,0))))</f>
        <v/>
      </c>
      <c r="H446" s="22" t="str">
        <f aca="false">IF($Z446=1,$AA446-1,"")</f>
        <v/>
      </c>
      <c r="I446" s="23"/>
      <c r="J446" s="1"/>
      <c r="K446" s="1"/>
      <c r="L446" s="1"/>
      <c r="M446" s="1"/>
      <c r="N446" s="1"/>
      <c r="O446" s="1"/>
      <c r="P446" s="1"/>
      <c r="Q446" s="1"/>
      <c r="R446" s="1"/>
      <c r="S446" s="1"/>
      <c r="Z446" s="24" t="n">
        <f aca="false">IF($AB446="",0,IF(ISNUMBER($B446),IF(AND($B446&gt;=N($B$3),OR(NOT(ISNUMBER($D$3)),$B446&lt;=$D$3)),1,0),1))</f>
        <v>0</v>
      </c>
      <c r="AA446" s="24" t="n">
        <f aca="false">$AA445*(1+IF($Z446=1,N($G446),0))</f>
        <v>1.0035</v>
      </c>
      <c r="AB446" s="0" t="str">
        <f aca="false">IF($F446="","",IFERROR(INDEX(Cilësimet!$B$6:$B$10,MATCH($F446,Cilësimet!$A$6:$A$10,0)),""))</f>
        <v/>
      </c>
    </row>
    <row r="447" customFormat="false" ht="18.75" hidden="false" customHeight="true" outlineLevel="0" collapsed="false">
      <c r="A447" s="1"/>
      <c r="B447" s="17"/>
      <c r="C447" s="18"/>
      <c r="D447" s="18"/>
      <c r="E447" s="19"/>
      <c r="F447" s="20"/>
      <c r="G447" s="21" t="str">
        <f aca="false">IF($AB447="","",Cilësimet!$C$3*(INDEX(Cilësimet!$C$6:$C$10,MATCH($F447,Cilësimet!$A$6:$A$10,0))*N($E447)+INDEX(Cilësimet!$D$6:$D$10,MATCH($F447,Cilësimet!$A$6:$A$10,0))))</f>
        <v/>
      </c>
      <c r="H447" s="22" t="str">
        <f aca="false">IF($Z447=1,$AA447-1,"")</f>
        <v/>
      </c>
      <c r="I447" s="23"/>
      <c r="J447" s="1"/>
      <c r="K447" s="1"/>
      <c r="L447" s="1"/>
      <c r="M447" s="1"/>
      <c r="N447" s="1"/>
      <c r="O447" s="1"/>
      <c r="P447" s="1"/>
      <c r="Q447" s="1"/>
      <c r="R447" s="1"/>
      <c r="S447" s="1"/>
      <c r="Z447" s="24" t="n">
        <f aca="false">IF($AB447="",0,IF(ISNUMBER($B447),IF(AND($B447&gt;=N($B$3),OR(NOT(ISNUMBER($D$3)),$B447&lt;=$D$3)),1,0),1))</f>
        <v>0</v>
      </c>
      <c r="AA447" s="24" t="n">
        <f aca="false">$AA446*(1+IF($Z447=1,N($G447),0))</f>
        <v>1.0035</v>
      </c>
      <c r="AB447" s="0" t="str">
        <f aca="false">IF($F447="","",IFERROR(INDEX(Cilësimet!$B$6:$B$10,MATCH($F447,Cilësimet!$A$6:$A$10,0)),""))</f>
        <v/>
      </c>
    </row>
    <row r="448" customFormat="false" ht="18.75" hidden="false" customHeight="true" outlineLevel="0" collapsed="false">
      <c r="A448" s="1"/>
      <c r="B448" s="17"/>
      <c r="C448" s="18"/>
      <c r="D448" s="18"/>
      <c r="E448" s="19"/>
      <c r="F448" s="20"/>
      <c r="G448" s="21" t="str">
        <f aca="false">IF($AB448="","",Cilësimet!$C$3*(INDEX(Cilësimet!$C$6:$C$10,MATCH($F448,Cilësimet!$A$6:$A$10,0))*N($E448)+INDEX(Cilësimet!$D$6:$D$10,MATCH($F448,Cilësimet!$A$6:$A$10,0))))</f>
        <v/>
      </c>
      <c r="H448" s="22" t="str">
        <f aca="false">IF($Z448=1,$AA448-1,"")</f>
        <v/>
      </c>
      <c r="I448" s="23"/>
      <c r="J448" s="1"/>
      <c r="K448" s="1"/>
      <c r="L448" s="1"/>
      <c r="M448" s="1"/>
      <c r="N448" s="1"/>
      <c r="O448" s="1"/>
      <c r="P448" s="1"/>
      <c r="Q448" s="1"/>
      <c r="R448" s="1"/>
      <c r="S448" s="1"/>
      <c r="Z448" s="24" t="n">
        <f aca="false">IF($AB448="",0,IF(ISNUMBER($B448),IF(AND($B448&gt;=N($B$3),OR(NOT(ISNUMBER($D$3)),$B448&lt;=$D$3)),1,0),1))</f>
        <v>0</v>
      </c>
      <c r="AA448" s="24" t="n">
        <f aca="false">$AA447*(1+IF($Z448=1,N($G448),0))</f>
        <v>1.0035</v>
      </c>
      <c r="AB448" s="0" t="str">
        <f aca="false">IF($F448="","",IFERROR(INDEX(Cilësimet!$B$6:$B$10,MATCH($F448,Cilësimet!$A$6:$A$10,0)),""))</f>
        <v/>
      </c>
    </row>
    <row r="449" customFormat="false" ht="18.75" hidden="false" customHeight="true" outlineLevel="0" collapsed="false">
      <c r="A449" s="1"/>
      <c r="B449" s="17"/>
      <c r="C449" s="18"/>
      <c r="D449" s="18"/>
      <c r="E449" s="19"/>
      <c r="F449" s="20"/>
      <c r="G449" s="21" t="str">
        <f aca="false">IF($AB449="","",Cilësimet!$C$3*(INDEX(Cilësimet!$C$6:$C$10,MATCH($F449,Cilësimet!$A$6:$A$10,0))*N($E449)+INDEX(Cilësimet!$D$6:$D$10,MATCH($F449,Cilësimet!$A$6:$A$10,0))))</f>
        <v/>
      </c>
      <c r="H449" s="22" t="str">
        <f aca="false">IF($Z449=1,$AA449-1,"")</f>
        <v/>
      </c>
      <c r="I449" s="23"/>
      <c r="J449" s="1"/>
      <c r="K449" s="1"/>
      <c r="L449" s="1"/>
      <c r="M449" s="1"/>
      <c r="N449" s="1"/>
      <c r="O449" s="1"/>
      <c r="P449" s="1"/>
      <c r="Q449" s="1"/>
      <c r="R449" s="1"/>
      <c r="S449" s="1"/>
      <c r="Z449" s="24" t="n">
        <f aca="false">IF($AB449="",0,IF(ISNUMBER($B449),IF(AND($B449&gt;=N($B$3),OR(NOT(ISNUMBER($D$3)),$B449&lt;=$D$3)),1,0),1))</f>
        <v>0</v>
      </c>
      <c r="AA449" s="24" t="n">
        <f aca="false">$AA448*(1+IF($Z449=1,N($G449),0))</f>
        <v>1.0035</v>
      </c>
      <c r="AB449" s="0" t="str">
        <f aca="false">IF($F449="","",IFERROR(INDEX(Cilësimet!$B$6:$B$10,MATCH($F449,Cilësimet!$A$6:$A$10,0)),""))</f>
        <v/>
      </c>
    </row>
    <row r="450" customFormat="false" ht="18.75" hidden="false" customHeight="true" outlineLevel="0" collapsed="false">
      <c r="A450" s="1"/>
      <c r="B450" s="17"/>
      <c r="C450" s="18"/>
      <c r="D450" s="18"/>
      <c r="E450" s="19"/>
      <c r="F450" s="20"/>
      <c r="G450" s="21" t="str">
        <f aca="false">IF($AB450="","",Cilësimet!$C$3*(INDEX(Cilësimet!$C$6:$C$10,MATCH($F450,Cilësimet!$A$6:$A$10,0))*N($E450)+INDEX(Cilësimet!$D$6:$D$10,MATCH($F450,Cilësimet!$A$6:$A$10,0))))</f>
        <v/>
      </c>
      <c r="H450" s="22" t="str">
        <f aca="false">IF($Z450=1,$AA450-1,"")</f>
        <v/>
      </c>
      <c r="I450" s="23"/>
      <c r="J450" s="1"/>
      <c r="K450" s="1"/>
      <c r="L450" s="1"/>
      <c r="M450" s="1"/>
      <c r="N450" s="1"/>
      <c r="O450" s="1"/>
      <c r="P450" s="1"/>
      <c r="Q450" s="1"/>
      <c r="R450" s="1"/>
      <c r="S450" s="1"/>
      <c r="Z450" s="24" t="n">
        <f aca="false">IF($AB450="",0,IF(ISNUMBER($B450),IF(AND($B450&gt;=N($B$3),OR(NOT(ISNUMBER($D$3)),$B450&lt;=$D$3)),1,0),1))</f>
        <v>0</v>
      </c>
      <c r="AA450" s="24" t="n">
        <f aca="false">$AA449*(1+IF($Z450=1,N($G450),0))</f>
        <v>1.0035</v>
      </c>
      <c r="AB450" s="0" t="str">
        <f aca="false">IF($F450="","",IFERROR(INDEX(Cilësimet!$B$6:$B$10,MATCH($F450,Cilësimet!$A$6:$A$10,0)),""))</f>
        <v/>
      </c>
    </row>
    <row r="451" customFormat="false" ht="18.75" hidden="false" customHeight="true" outlineLevel="0" collapsed="false">
      <c r="A451" s="1"/>
      <c r="B451" s="17"/>
      <c r="C451" s="18"/>
      <c r="D451" s="18"/>
      <c r="E451" s="19"/>
      <c r="F451" s="20"/>
      <c r="G451" s="21" t="str">
        <f aca="false">IF($AB451="","",Cilësimet!$C$3*(INDEX(Cilësimet!$C$6:$C$10,MATCH($F451,Cilësimet!$A$6:$A$10,0))*N($E451)+INDEX(Cilësimet!$D$6:$D$10,MATCH($F451,Cilësimet!$A$6:$A$10,0))))</f>
        <v/>
      </c>
      <c r="H451" s="22" t="str">
        <f aca="false">IF($Z451=1,$AA451-1,"")</f>
        <v/>
      </c>
      <c r="I451" s="23"/>
      <c r="J451" s="1"/>
      <c r="K451" s="1"/>
      <c r="L451" s="1"/>
      <c r="M451" s="1"/>
      <c r="N451" s="1"/>
      <c r="O451" s="1"/>
      <c r="P451" s="1"/>
      <c r="Q451" s="1"/>
      <c r="R451" s="1"/>
      <c r="S451" s="1"/>
      <c r="Z451" s="24" t="n">
        <f aca="false">IF($AB451="",0,IF(ISNUMBER($B451),IF(AND($B451&gt;=N($B$3),OR(NOT(ISNUMBER($D$3)),$B451&lt;=$D$3)),1,0),1))</f>
        <v>0</v>
      </c>
      <c r="AA451" s="24" t="n">
        <f aca="false">$AA450*(1+IF($Z451=1,N($G451),0))</f>
        <v>1.0035</v>
      </c>
      <c r="AB451" s="0" t="str">
        <f aca="false">IF($F451="","",IFERROR(INDEX(Cilësimet!$B$6:$B$10,MATCH($F451,Cilësimet!$A$6:$A$10,0)),""))</f>
        <v/>
      </c>
    </row>
    <row r="452" customFormat="false" ht="18.75" hidden="false" customHeight="true" outlineLevel="0" collapsed="false">
      <c r="A452" s="1"/>
      <c r="B452" s="17"/>
      <c r="C452" s="18"/>
      <c r="D452" s="18"/>
      <c r="E452" s="19"/>
      <c r="F452" s="20"/>
      <c r="G452" s="21" t="str">
        <f aca="false">IF($AB452="","",Cilësimet!$C$3*(INDEX(Cilësimet!$C$6:$C$10,MATCH($F452,Cilësimet!$A$6:$A$10,0))*N($E452)+INDEX(Cilësimet!$D$6:$D$10,MATCH($F452,Cilësimet!$A$6:$A$10,0))))</f>
        <v/>
      </c>
      <c r="H452" s="22" t="str">
        <f aca="false">IF($Z452=1,$AA452-1,"")</f>
        <v/>
      </c>
      <c r="I452" s="23"/>
      <c r="J452" s="1"/>
      <c r="K452" s="1"/>
      <c r="L452" s="1"/>
      <c r="M452" s="1"/>
      <c r="N452" s="1"/>
      <c r="O452" s="1"/>
      <c r="P452" s="1"/>
      <c r="Q452" s="1"/>
      <c r="R452" s="1"/>
      <c r="S452" s="1"/>
      <c r="Z452" s="24" t="n">
        <f aca="false">IF($AB452="",0,IF(ISNUMBER($B452),IF(AND($B452&gt;=N($B$3),OR(NOT(ISNUMBER($D$3)),$B452&lt;=$D$3)),1,0),1))</f>
        <v>0</v>
      </c>
      <c r="AA452" s="24" t="n">
        <f aca="false">$AA451*(1+IF($Z452=1,N($G452),0))</f>
        <v>1.0035</v>
      </c>
      <c r="AB452" s="0" t="str">
        <f aca="false">IF($F452="","",IFERROR(INDEX(Cilësimet!$B$6:$B$10,MATCH($F452,Cilësimet!$A$6:$A$10,0)),""))</f>
        <v/>
      </c>
    </row>
    <row r="453" customFormat="false" ht="18.75" hidden="false" customHeight="true" outlineLevel="0" collapsed="false">
      <c r="A453" s="1"/>
      <c r="B453" s="17"/>
      <c r="C453" s="18"/>
      <c r="D453" s="18"/>
      <c r="E453" s="19"/>
      <c r="F453" s="20"/>
      <c r="G453" s="21" t="str">
        <f aca="false">IF($AB453="","",Cilësimet!$C$3*(INDEX(Cilësimet!$C$6:$C$10,MATCH($F453,Cilësimet!$A$6:$A$10,0))*N($E453)+INDEX(Cilësimet!$D$6:$D$10,MATCH($F453,Cilësimet!$A$6:$A$10,0))))</f>
        <v/>
      </c>
      <c r="H453" s="22" t="str">
        <f aca="false">IF($Z453=1,$AA453-1,"")</f>
        <v/>
      </c>
      <c r="I453" s="23"/>
      <c r="J453" s="1"/>
      <c r="K453" s="1"/>
      <c r="L453" s="1"/>
      <c r="M453" s="1"/>
      <c r="N453" s="1"/>
      <c r="O453" s="1"/>
      <c r="P453" s="1"/>
      <c r="Q453" s="1"/>
      <c r="R453" s="1"/>
      <c r="S453" s="1"/>
      <c r="Z453" s="24" t="n">
        <f aca="false">IF($AB453="",0,IF(ISNUMBER($B453),IF(AND($B453&gt;=N($B$3),OR(NOT(ISNUMBER($D$3)),$B453&lt;=$D$3)),1,0),1))</f>
        <v>0</v>
      </c>
      <c r="AA453" s="24" t="n">
        <f aca="false">$AA452*(1+IF($Z453=1,N($G453),0))</f>
        <v>1.0035</v>
      </c>
      <c r="AB453" s="0" t="str">
        <f aca="false">IF($F453="","",IFERROR(INDEX(Cilësimet!$B$6:$B$10,MATCH($F453,Cilësimet!$A$6:$A$10,0)),""))</f>
        <v/>
      </c>
    </row>
    <row r="454" customFormat="false" ht="18.75" hidden="false" customHeight="true" outlineLevel="0" collapsed="false">
      <c r="A454" s="1"/>
      <c r="B454" s="17"/>
      <c r="C454" s="18"/>
      <c r="D454" s="18"/>
      <c r="E454" s="19"/>
      <c r="F454" s="20"/>
      <c r="G454" s="21" t="str">
        <f aca="false">IF($AB454="","",Cilësimet!$C$3*(INDEX(Cilësimet!$C$6:$C$10,MATCH($F454,Cilësimet!$A$6:$A$10,0))*N($E454)+INDEX(Cilësimet!$D$6:$D$10,MATCH($F454,Cilësimet!$A$6:$A$10,0))))</f>
        <v/>
      </c>
      <c r="H454" s="22" t="str">
        <f aca="false">IF($Z454=1,$AA454-1,"")</f>
        <v/>
      </c>
      <c r="I454" s="23"/>
      <c r="J454" s="1"/>
      <c r="K454" s="1"/>
      <c r="L454" s="1"/>
      <c r="M454" s="1"/>
      <c r="N454" s="1"/>
      <c r="O454" s="1"/>
      <c r="P454" s="1"/>
      <c r="Q454" s="1"/>
      <c r="R454" s="1"/>
      <c r="S454" s="1"/>
      <c r="Z454" s="24" t="n">
        <f aca="false">IF($AB454="",0,IF(ISNUMBER($B454),IF(AND($B454&gt;=N($B$3),OR(NOT(ISNUMBER($D$3)),$B454&lt;=$D$3)),1,0),1))</f>
        <v>0</v>
      </c>
      <c r="AA454" s="24" t="n">
        <f aca="false">$AA453*(1+IF($Z454=1,N($G454),0))</f>
        <v>1.0035</v>
      </c>
      <c r="AB454" s="0" t="str">
        <f aca="false">IF($F454="","",IFERROR(INDEX(Cilësimet!$B$6:$B$10,MATCH($F454,Cilësimet!$A$6:$A$10,0)),""))</f>
        <v/>
      </c>
    </row>
    <row r="455" customFormat="false" ht="18.75" hidden="false" customHeight="true" outlineLevel="0" collapsed="false">
      <c r="A455" s="1"/>
      <c r="B455" s="17"/>
      <c r="C455" s="18"/>
      <c r="D455" s="18"/>
      <c r="E455" s="19"/>
      <c r="F455" s="20"/>
      <c r="G455" s="21" t="str">
        <f aca="false">IF($AB455="","",Cilësimet!$C$3*(INDEX(Cilësimet!$C$6:$C$10,MATCH($F455,Cilësimet!$A$6:$A$10,0))*N($E455)+INDEX(Cilësimet!$D$6:$D$10,MATCH($F455,Cilësimet!$A$6:$A$10,0))))</f>
        <v/>
      </c>
      <c r="H455" s="22" t="str">
        <f aca="false">IF($Z455=1,$AA455-1,"")</f>
        <v/>
      </c>
      <c r="I455" s="23"/>
      <c r="J455" s="1"/>
      <c r="K455" s="1"/>
      <c r="L455" s="1"/>
      <c r="M455" s="1"/>
      <c r="N455" s="1"/>
      <c r="O455" s="1"/>
      <c r="P455" s="1"/>
      <c r="Q455" s="1"/>
      <c r="R455" s="1"/>
      <c r="S455" s="1"/>
      <c r="Z455" s="24" t="n">
        <f aca="false">IF($AB455="",0,IF(ISNUMBER($B455),IF(AND($B455&gt;=N($B$3),OR(NOT(ISNUMBER($D$3)),$B455&lt;=$D$3)),1,0),1))</f>
        <v>0</v>
      </c>
      <c r="AA455" s="24" t="n">
        <f aca="false">$AA454*(1+IF($Z455=1,N($G455),0))</f>
        <v>1.0035</v>
      </c>
      <c r="AB455" s="0" t="str">
        <f aca="false">IF($F455="","",IFERROR(INDEX(Cilësimet!$B$6:$B$10,MATCH($F455,Cilësimet!$A$6:$A$10,0)),""))</f>
        <v/>
      </c>
    </row>
    <row r="456" customFormat="false" ht="18.75" hidden="false" customHeight="true" outlineLevel="0" collapsed="false">
      <c r="A456" s="1"/>
      <c r="B456" s="17"/>
      <c r="C456" s="18"/>
      <c r="D456" s="18"/>
      <c r="E456" s="19"/>
      <c r="F456" s="20"/>
      <c r="G456" s="21" t="str">
        <f aca="false">IF($AB456="","",Cilësimet!$C$3*(INDEX(Cilësimet!$C$6:$C$10,MATCH($F456,Cilësimet!$A$6:$A$10,0))*N($E456)+INDEX(Cilësimet!$D$6:$D$10,MATCH($F456,Cilësimet!$A$6:$A$10,0))))</f>
        <v/>
      </c>
      <c r="H456" s="22" t="str">
        <f aca="false">IF($Z456=1,$AA456-1,"")</f>
        <v/>
      </c>
      <c r="I456" s="23"/>
      <c r="J456" s="1"/>
      <c r="K456" s="1"/>
      <c r="L456" s="1"/>
      <c r="M456" s="1"/>
      <c r="N456" s="1"/>
      <c r="O456" s="1"/>
      <c r="P456" s="1"/>
      <c r="Q456" s="1"/>
      <c r="R456" s="1"/>
      <c r="S456" s="1"/>
      <c r="Z456" s="24" t="n">
        <f aca="false">IF($AB456="",0,IF(ISNUMBER($B456),IF(AND($B456&gt;=N($B$3),OR(NOT(ISNUMBER($D$3)),$B456&lt;=$D$3)),1,0),1))</f>
        <v>0</v>
      </c>
      <c r="AA456" s="24" t="n">
        <f aca="false">$AA455*(1+IF($Z456=1,N($G456),0))</f>
        <v>1.0035</v>
      </c>
      <c r="AB456" s="0" t="str">
        <f aca="false">IF($F456="","",IFERROR(INDEX(Cilësimet!$B$6:$B$10,MATCH($F456,Cilësimet!$A$6:$A$10,0)),""))</f>
        <v/>
      </c>
    </row>
    <row r="457" customFormat="false" ht="18.75" hidden="false" customHeight="true" outlineLevel="0" collapsed="false">
      <c r="A457" s="1"/>
      <c r="B457" s="17"/>
      <c r="C457" s="18"/>
      <c r="D457" s="18"/>
      <c r="E457" s="19"/>
      <c r="F457" s="20"/>
      <c r="G457" s="21" t="str">
        <f aca="false">IF($AB457="","",Cilësimet!$C$3*(INDEX(Cilësimet!$C$6:$C$10,MATCH($F457,Cilësimet!$A$6:$A$10,0))*N($E457)+INDEX(Cilësimet!$D$6:$D$10,MATCH($F457,Cilësimet!$A$6:$A$10,0))))</f>
        <v/>
      </c>
      <c r="H457" s="22" t="str">
        <f aca="false">IF($Z457=1,$AA457-1,"")</f>
        <v/>
      </c>
      <c r="I457" s="23"/>
      <c r="J457" s="1"/>
      <c r="K457" s="1"/>
      <c r="L457" s="1"/>
      <c r="M457" s="1"/>
      <c r="N457" s="1"/>
      <c r="O457" s="1"/>
      <c r="P457" s="1"/>
      <c r="Q457" s="1"/>
      <c r="R457" s="1"/>
      <c r="S457" s="1"/>
      <c r="Z457" s="24" t="n">
        <f aca="false">IF($AB457="",0,IF(ISNUMBER($B457),IF(AND($B457&gt;=N($B$3),OR(NOT(ISNUMBER($D$3)),$B457&lt;=$D$3)),1,0),1))</f>
        <v>0</v>
      </c>
      <c r="AA457" s="24" t="n">
        <f aca="false">$AA456*(1+IF($Z457=1,N($G457),0))</f>
        <v>1.0035</v>
      </c>
      <c r="AB457" s="0" t="str">
        <f aca="false">IF($F457="","",IFERROR(INDEX(Cilësimet!$B$6:$B$10,MATCH($F457,Cilësimet!$A$6:$A$10,0)),""))</f>
        <v/>
      </c>
    </row>
    <row r="458" customFormat="false" ht="18.75" hidden="false" customHeight="true" outlineLevel="0" collapsed="false">
      <c r="A458" s="1"/>
      <c r="B458" s="17"/>
      <c r="C458" s="18"/>
      <c r="D458" s="18"/>
      <c r="E458" s="19"/>
      <c r="F458" s="20"/>
      <c r="G458" s="21" t="str">
        <f aca="false">IF($AB458="","",Cilësimet!$C$3*(INDEX(Cilësimet!$C$6:$C$10,MATCH($F458,Cilësimet!$A$6:$A$10,0))*N($E458)+INDEX(Cilësimet!$D$6:$D$10,MATCH($F458,Cilësimet!$A$6:$A$10,0))))</f>
        <v/>
      </c>
      <c r="H458" s="22" t="str">
        <f aca="false">IF($Z458=1,$AA458-1,"")</f>
        <v/>
      </c>
      <c r="I458" s="23"/>
      <c r="J458" s="1"/>
      <c r="K458" s="1"/>
      <c r="L458" s="1"/>
      <c r="M458" s="1"/>
      <c r="N458" s="1"/>
      <c r="O458" s="1"/>
      <c r="P458" s="1"/>
      <c r="Q458" s="1"/>
      <c r="R458" s="1"/>
      <c r="S458" s="1"/>
      <c r="Z458" s="24" t="n">
        <f aca="false">IF($AB458="",0,IF(ISNUMBER($B458),IF(AND($B458&gt;=N($B$3),OR(NOT(ISNUMBER($D$3)),$B458&lt;=$D$3)),1,0),1))</f>
        <v>0</v>
      </c>
      <c r="AA458" s="24" t="n">
        <f aca="false">$AA457*(1+IF($Z458=1,N($G458),0))</f>
        <v>1.0035</v>
      </c>
      <c r="AB458" s="0" t="str">
        <f aca="false">IF($F458="","",IFERROR(INDEX(Cilësimet!$B$6:$B$10,MATCH($F458,Cilësimet!$A$6:$A$10,0)),""))</f>
        <v/>
      </c>
    </row>
    <row r="459" customFormat="false" ht="18.75" hidden="false" customHeight="true" outlineLevel="0" collapsed="false">
      <c r="A459" s="1"/>
      <c r="B459" s="17"/>
      <c r="C459" s="18"/>
      <c r="D459" s="18"/>
      <c r="E459" s="19"/>
      <c r="F459" s="20"/>
      <c r="G459" s="21" t="str">
        <f aca="false">IF($AB459="","",Cilësimet!$C$3*(INDEX(Cilësimet!$C$6:$C$10,MATCH($F459,Cilësimet!$A$6:$A$10,0))*N($E459)+INDEX(Cilësimet!$D$6:$D$10,MATCH($F459,Cilësimet!$A$6:$A$10,0))))</f>
        <v/>
      </c>
      <c r="H459" s="22" t="str">
        <f aca="false">IF($Z459=1,$AA459-1,"")</f>
        <v/>
      </c>
      <c r="I459" s="23"/>
      <c r="J459" s="1"/>
      <c r="K459" s="1"/>
      <c r="L459" s="1"/>
      <c r="M459" s="1"/>
      <c r="N459" s="1"/>
      <c r="O459" s="1"/>
      <c r="P459" s="1"/>
      <c r="Q459" s="1"/>
      <c r="R459" s="1"/>
      <c r="S459" s="1"/>
      <c r="Z459" s="24" t="n">
        <f aca="false">IF($AB459="",0,IF(ISNUMBER($B459),IF(AND($B459&gt;=N($B$3),OR(NOT(ISNUMBER($D$3)),$B459&lt;=$D$3)),1,0),1))</f>
        <v>0</v>
      </c>
      <c r="AA459" s="24" t="n">
        <f aca="false">$AA458*(1+IF($Z459=1,N($G459),0))</f>
        <v>1.0035</v>
      </c>
      <c r="AB459" s="0" t="str">
        <f aca="false">IF($F459="","",IFERROR(INDEX(Cilësimet!$B$6:$B$10,MATCH($F459,Cilësimet!$A$6:$A$10,0)),""))</f>
        <v/>
      </c>
    </row>
    <row r="460" customFormat="false" ht="18.75" hidden="false" customHeight="true" outlineLevel="0" collapsed="false">
      <c r="A460" s="1"/>
      <c r="B460" s="17"/>
      <c r="C460" s="18"/>
      <c r="D460" s="18"/>
      <c r="E460" s="19"/>
      <c r="F460" s="20"/>
      <c r="G460" s="21" t="str">
        <f aca="false">IF($AB460="","",Cilësimet!$C$3*(INDEX(Cilësimet!$C$6:$C$10,MATCH($F460,Cilësimet!$A$6:$A$10,0))*N($E460)+INDEX(Cilësimet!$D$6:$D$10,MATCH($F460,Cilësimet!$A$6:$A$10,0))))</f>
        <v/>
      </c>
      <c r="H460" s="22" t="str">
        <f aca="false">IF($Z460=1,$AA460-1,"")</f>
        <v/>
      </c>
      <c r="I460" s="23"/>
      <c r="J460" s="1"/>
      <c r="K460" s="1"/>
      <c r="L460" s="1"/>
      <c r="M460" s="1"/>
      <c r="N460" s="1"/>
      <c r="O460" s="1"/>
      <c r="P460" s="1"/>
      <c r="Q460" s="1"/>
      <c r="R460" s="1"/>
      <c r="S460" s="1"/>
      <c r="Z460" s="24" t="n">
        <f aca="false">IF($AB460="",0,IF(ISNUMBER($B460),IF(AND($B460&gt;=N($B$3),OR(NOT(ISNUMBER($D$3)),$B460&lt;=$D$3)),1,0),1))</f>
        <v>0</v>
      </c>
      <c r="AA460" s="24" t="n">
        <f aca="false">$AA459*(1+IF($Z460=1,N($G460),0))</f>
        <v>1.0035</v>
      </c>
      <c r="AB460" s="0" t="str">
        <f aca="false">IF($F460="","",IFERROR(INDEX(Cilësimet!$B$6:$B$10,MATCH($F460,Cilësimet!$A$6:$A$10,0)),""))</f>
        <v/>
      </c>
    </row>
    <row r="461" customFormat="false" ht="18.75" hidden="false" customHeight="true" outlineLevel="0" collapsed="false">
      <c r="A461" s="1"/>
      <c r="B461" s="17"/>
      <c r="C461" s="18"/>
      <c r="D461" s="18"/>
      <c r="E461" s="19"/>
      <c r="F461" s="20"/>
      <c r="G461" s="21" t="str">
        <f aca="false">IF($AB461="","",Cilësimet!$C$3*(INDEX(Cilësimet!$C$6:$C$10,MATCH($F461,Cilësimet!$A$6:$A$10,0))*N($E461)+INDEX(Cilësimet!$D$6:$D$10,MATCH($F461,Cilësimet!$A$6:$A$10,0))))</f>
        <v/>
      </c>
      <c r="H461" s="22" t="str">
        <f aca="false">IF($Z461=1,$AA461-1,"")</f>
        <v/>
      </c>
      <c r="I461" s="23"/>
      <c r="J461" s="1"/>
      <c r="K461" s="1"/>
      <c r="L461" s="1"/>
      <c r="M461" s="1"/>
      <c r="N461" s="1"/>
      <c r="O461" s="1"/>
      <c r="P461" s="1"/>
      <c r="Q461" s="1"/>
      <c r="R461" s="1"/>
      <c r="S461" s="1"/>
      <c r="Z461" s="24" t="n">
        <f aca="false">IF($AB461="",0,IF(ISNUMBER($B461),IF(AND($B461&gt;=N($B$3),OR(NOT(ISNUMBER($D$3)),$B461&lt;=$D$3)),1,0),1))</f>
        <v>0</v>
      </c>
      <c r="AA461" s="24" t="n">
        <f aca="false">$AA460*(1+IF($Z461=1,N($G461),0))</f>
        <v>1.0035</v>
      </c>
      <c r="AB461" s="0" t="str">
        <f aca="false">IF($F461="","",IFERROR(INDEX(Cilësimet!$B$6:$B$10,MATCH($F461,Cilësimet!$A$6:$A$10,0)),""))</f>
        <v/>
      </c>
    </row>
    <row r="462" customFormat="false" ht="18.75" hidden="false" customHeight="true" outlineLevel="0" collapsed="false">
      <c r="A462" s="1"/>
      <c r="B462" s="17"/>
      <c r="C462" s="18"/>
      <c r="D462" s="18"/>
      <c r="E462" s="19"/>
      <c r="F462" s="20"/>
      <c r="G462" s="21" t="str">
        <f aca="false">IF($AB462="","",Cilësimet!$C$3*(INDEX(Cilësimet!$C$6:$C$10,MATCH($F462,Cilësimet!$A$6:$A$10,0))*N($E462)+INDEX(Cilësimet!$D$6:$D$10,MATCH($F462,Cilësimet!$A$6:$A$10,0))))</f>
        <v/>
      </c>
      <c r="H462" s="22" t="str">
        <f aca="false">IF($Z462=1,$AA462-1,"")</f>
        <v/>
      </c>
      <c r="I462" s="23"/>
      <c r="J462" s="1"/>
      <c r="K462" s="1"/>
      <c r="L462" s="1"/>
      <c r="M462" s="1"/>
      <c r="N462" s="1"/>
      <c r="O462" s="1"/>
      <c r="P462" s="1"/>
      <c r="Q462" s="1"/>
      <c r="R462" s="1"/>
      <c r="S462" s="1"/>
      <c r="Z462" s="24" t="n">
        <f aca="false">IF($AB462="",0,IF(ISNUMBER($B462),IF(AND($B462&gt;=N($B$3),OR(NOT(ISNUMBER($D$3)),$B462&lt;=$D$3)),1,0),1))</f>
        <v>0</v>
      </c>
      <c r="AA462" s="24" t="n">
        <f aca="false">$AA461*(1+IF($Z462=1,N($G462),0))</f>
        <v>1.0035</v>
      </c>
      <c r="AB462" s="0" t="str">
        <f aca="false">IF($F462="","",IFERROR(INDEX(Cilësimet!$B$6:$B$10,MATCH($F462,Cilësimet!$A$6:$A$10,0)),""))</f>
        <v/>
      </c>
    </row>
    <row r="463" customFormat="false" ht="18.75" hidden="false" customHeight="true" outlineLevel="0" collapsed="false">
      <c r="A463" s="1"/>
      <c r="B463" s="17"/>
      <c r="C463" s="18"/>
      <c r="D463" s="18"/>
      <c r="E463" s="19"/>
      <c r="F463" s="20"/>
      <c r="G463" s="21" t="str">
        <f aca="false">IF($AB463="","",Cilësimet!$C$3*(INDEX(Cilësimet!$C$6:$C$10,MATCH($F463,Cilësimet!$A$6:$A$10,0))*N($E463)+INDEX(Cilësimet!$D$6:$D$10,MATCH($F463,Cilësimet!$A$6:$A$10,0))))</f>
        <v/>
      </c>
      <c r="H463" s="22" t="str">
        <f aca="false">IF($Z463=1,$AA463-1,"")</f>
        <v/>
      </c>
      <c r="I463" s="23"/>
      <c r="J463" s="1"/>
      <c r="K463" s="1"/>
      <c r="L463" s="1"/>
      <c r="M463" s="1"/>
      <c r="N463" s="1"/>
      <c r="O463" s="1"/>
      <c r="P463" s="1"/>
      <c r="Q463" s="1"/>
      <c r="R463" s="1"/>
      <c r="S463" s="1"/>
      <c r="Z463" s="24" t="n">
        <f aca="false">IF($AB463="",0,IF(ISNUMBER($B463),IF(AND($B463&gt;=N($B$3),OR(NOT(ISNUMBER($D$3)),$B463&lt;=$D$3)),1,0),1))</f>
        <v>0</v>
      </c>
      <c r="AA463" s="24" t="n">
        <f aca="false">$AA462*(1+IF($Z463=1,N($G463),0))</f>
        <v>1.0035</v>
      </c>
      <c r="AB463" s="0" t="str">
        <f aca="false">IF($F463="","",IFERROR(INDEX(Cilësimet!$B$6:$B$10,MATCH($F463,Cilësimet!$A$6:$A$10,0)),""))</f>
        <v/>
      </c>
    </row>
    <row r="464" customFormat="false" ht="18.75" hidden="false" customHeight="true" outlineLevel="0" collapsed="false">
      <c r="A464" s="1"/>
      <c r="B464" s="17"/>
      <c r="C464" s="18"/>
      <c r="D464" s="18"/>
      <c r="E464" s="19"/>
      <c r="F464" s="20"/>
      <c r="G464" s="21" t="str">
        <f aca="false">IF($AB464="","",Cilësimet!$C$3*(INDEX(Cilësimet!$C$6:$C$10,MATCH($F464,Cilësimet!$A$6:$A$10,0))*N($E464)+INDEX(Cilësimet!$D$6:$D$10,MATCH($F464,Cilësimet!$A$6:$A$10,0))))</f>
        <v/>
      </c>
      <c r="H464" s="22" t="str">
        <f aca="false">IF($Z464=1,$AA464-1,"")</f>
        <v/>
      </c>
      <c r="I464" s="23"/>
      <c r="J464" s="1"/>
      <c r="K464" s="1"/>
      <c r="L464" s="1"/>
      <c r="M464" s="1"/>
      <c r="N464" s="1"/>
      <c r="O464" s="1"/>
      <c r="P464" s="1"/>
      <c r="Q464" s="1"/>
      <c r="R464" s="1"/>
      <c r="S464" s="1"/>
      <c r="Z464" s="24" t="n">
        <f aca="false">IF($AB464="",0,IF(ISNUMBER($B464),IF(AND($B464&gt;=N($B$3),OR(NOT(ISNUMBER($D$3)),$B464&lt;=$D$3)),1,0),1))</f>
        <v>0</v>
      </c>
      <c r="AA464" s="24" t="n">
        <f aca="false">$AA463*(1+IF($Z464=1,N($G464),0))</f>
        <v>1.0035</v>
      </c>
      <c r="AB464" s="0" t="str">
        <f aca="false">IF($F464="","",IFERROR(INDEX(Cilësimet!$B$6:$B$10,MATCH($F464,Cilësimet!$A$6:$A$10,0)),""))</f>
        <v/>
      </c>
    </row>
    <row r="465" customFormat="false" ht="18.75" hidden="false" customHeight="true" outlineLevel="0" collapsed="false">
      <c r="A465" s="1"/>
      <c r="B465" s="17"/>
      <c r="C465" s="18"/>
      <c r="D465" s="18"/>
      <c r="E465" s="19"/>
      <c r="F465" s="20"/>
      <c r="G465" s="21" t="str">
        <f aca="false">IF($AB465="","",Cilësimet!$C$3*(INDEX(Cilësimet!$C$6:$C$10,MATCH($F465,Cilësimet!$A$6:$A$10,0))*N($E465)+INDEX(Cilësimet!$D$6:$D$10,MATCH($F465,Cilësimet!$A$6:$A$10,0))))</f>
        <v/>
      </c>
      <c r="H465" s="22" t="str">
        <f aca="false">IF($Z465=1,$AA465-1,"")</f>
        <v/>
      </c>
      <c r="I465" s="23"/>
      <c r="J465" s="1"/>
      <c r="K465" s="1"/>
      <c r="L465" s="1"/>
      <c r="M465" s="1"/>
      <c r="N465" s="1"/>
      <c r="O465" s="1"/>
      <c r="P465" s="1"/>
      <c r="Q465" s="1"/>
      <c r="R465" s="1"/>
      <c r="S465" s="1"/>
      <c r="Z465" s="24" t="n">
        <f aca="false">IF($AB465="",0,IF(ISNUMBER($B465),IF(AND($B465&gt;=N($B$3),OR(NOT(ISNUMBER($D$3)),$B465&lt;=$D$3)),1,0),1))</f>
        <v>0</v>
      </c>
      <c r="AA465" s="24" t="n">
        <f aca="false">$AA464*(1+IF($Z465=1,N($G465),0))</f>
        <v>1.0035</v>
      </c>
      <c r="AB465" s="0" t="str">
        <f aca="false">IF($F465="","",IFERROR(INDEX(Cilësimet!$B$6:$B$10,MATCH($F465,Cilësimet!$A$6:$A$10,0)),""))</f>
        <v/>
      </c>
    </row>
    <row r="466" customFormat="false" ht="18.75" hidden="false" customHeight="true" outlineLevel="0" collapsed="false">
      <c r="A466" s="1"/>
      <c r="B466" s="17"/>
      <c r="C466" s="18"/>
      <c r="D466" s="18"/>
      <c r="E466" s="19"/>
      <c r="F466" s="20"/>
      <c r="G466" s="21" t="str">
        <f aca="false">IF($AB466="","",Cilësimet!$C$3*(INDEX(Cilësimet!$C$6:$C$10,MATCH($F466,Cilësimet!$A$6:$A$10,0))*N($E466)+INDEX(Cilësimet!$D$6:$D$10,MATCH($F466,Cilësimet!$A$6:$A$10,0))))</f>
        <v/>
      </c>
      <c r="H466" s="22" t="str">
        <f aca="false">IF($Z466=1,$AA466-1,"")</f>
        <v/>
      </c>
      <c r="I466" s="23"/>
      <c r="J466" s="1"/>
      <c r="K466" s="1"/>
      <c r="L466" s="1"/>
      <c r="M466" s="1"/>
      <c r="N466" s="1"/>
      <c r="O466" s="1"/>
      <c r="P466" s="1"/>
      <c r="Q466" s="1"/>
      <c r="R466" s="1"/>
      <c r="S466" s="1"/>
      <c r="Z466" s="24" t="n">
        <f aca="false">IF($AB466="",0,IF(ISNUMBER($B466),IF(AND($B466&gt;=N($B$3),OR(NOT(ISNUMBER($D$3)),$B466&lt;=$D$3)),1,0),1))</f>
        <v>0</v>
      </c>
      <c r="AA466" s="24" t="n">
        <f aca="false">$AA465*(1+IF($Z466=1,N($G466),0))</f>
        <v>1.0035</v>
      </c>
      <c r="AB466" s="0" t="str">
        <f aca="false">IF($F466="","",IFERROR(INDEX(Cilësimet!$B$6:$B$10,MATCH($F466,Cilësimet!$A$6:$A$10,0)),""))</f>
        <v/>
      </c>
    </row>
    <row r="467" customFormat="false" ht="18.75" hidden="false" customHeight="true" outlineLevel="0" collapsed="false">
      <c r="A467" s="1"/>
      <c r="B467" s="17"/>
      <c r="C467" s="18"/>
      <c r="D467" s="18"/>
      <c r="E467" s="19"/>
      <c r="F467" s="20"/>
      <c r="G467" s="21" t="str">
        <f aca="false">IF($AB467="","",Cilësimet!$C$3*(INDEX(Cilësimet!$C$6:$C$10,MATCH($F467,Cilësimet!$A$6:$A$10,0))*N($E467)+INDEX(Cilësimet!$D$6:$D$10,MATCH($F467,Cilësimet!$A$6:$A$10,0))))</f>
        <v/>
      </c>
      <c r="H467" s="22" t="str">
        <f aca="false">IF($Z467=1,$AA467-1,"")</f>
        <v/>
      </c>
      <c r="I467" s="23"/>
      <c r="J467" s="1"/>
      <c r="K467" s="1"/>
      <c r="L467" s="1"/>
      <c r="M467" s="1"/>
      <c r="N467" s="1"/>
      <c r="O467" s="1"/>
      <c r="P467" s="1"/>
      <c r="Q467" s="1"/>
      <c r="R467" s="1"/>
      <c r="S467" s="1"/>
      <c r="Z467" s="24" t="n">
        <f aca="false">IF($AB467="",0,IF(ISNUMBER($B467),IF(AND($B467&gt;=N($B$3),OR(NOT(ISNUMBER($D$3)),$B467&lt;=$D$3)),1,0),1))</f>
        <v>0</v>
      </c>
      <c r="AA467" s="24" t="n">
        <f aca="false">$AA466*(1+IF($Z467=1,N($G467),0))</f>
        <v>1.0035</v>
      </c>
      <c r="AB467" s="0" t="str">
        <f aca="false">IF($F467="","",IFERROR(INDEX(Cilësimet!$B$6:$B$10,MATCH($F467,Cilësimet!$A$6:$A$10,0)),""))</f>
        <v/>
      </c>
    </row>
    <row r="468" customFormat="false" ht="18.75" hidden="false" customHeight="true" outlineLevel="0" collapsed="false">
      <c r="A468" s="1"/>
      <c r="B468" s="17"/>
      <c r="C468" s="18"/>
      <c r="D468" s="18"/>
      <c r="E468" s="19"/>
      <c r="F468" s="20"/>
      <c r="G468" s="21" t="str">
        <f aca="false">IF($AB468="","",Cilësimet!$C$3*(INDEX(Cilësimet!$C$6:$C$10,MATCH($F468,Cilësimet!$A$6:$A$10,0))*N($E468)+INDEX(Cilësimet!$D$6:$D$10,MATCH($F468,Cilësimet!$A$6:$A$10,0))))</f>
        <v/>
      </c>
      <c r="H468" s="22" t="str">
        <f aca="false">IF($Z468=1,$AA468-1,"")</f>
        <v/>
      </c>
      <c r="I468" s="23"/>
      <c r="J468" s="1"/>
      <c r="K468" s="1"/>
      <c r="L468" s="1"/>
      <c r="M468" s="1"/>
      <c r="N468" s="1"/>
      <c r="O468" s="1"/>
      <c r="P468" s="1"/>
      <c r="Q468" s="1"/>
      <c r="R468" s="1"/>
      <c r="S468" s="1"/>
      <c r="Z468" s="24" t="n">
        <f aca="false">IF($AB468="",0,IF(ISNUMBER($B468),IF(AND($B468&gt;=N($B$3),OR(NOT(ISNUMBER($D$3)),$B468&lt;=$D$3)),1,0),1))</f>
        <v>0</v>
      </c>
      <c r="AA468" s="24" t="n">
        <f aca="false">$AA467*(1+IF($Z468=1,N($G468),0))</f>
        <v>1.0035</v>
      </c>
      <c r="AB468" s="0" t="str">
        <f aca="false">IF($F468="","",IFERROR(INDEX(Cilësimet!$B$6:$B$10,MATCH($F468,Cilësimet!$A$6:$A$10,0)),""))</f>
        <v/>
      </c>
    </row>
    <row r="469" customFormat="false" ht="18.75" hidden="false" customHeight="true" outlineLevel="0" collapsed="false">
      <c r="A469" s="1"/>
      <c r="B469" s="17"/>
      <c r="C469" s="18"/>
      <c r="D469" s="18"/>
      <c r="E469" s="19"/>
      <c r="F469" s="20"/>
      <c r="G469" s="21" t="str">
        <f aca="false">IF($AB469="","",Cilësimet!$C$3*(INDEX(Cilësimet!$C$6:$C$10,MATCH($F469,Cilësimet!$A$6:$A$10,0))*N($E469)+INDEX(Cilësimet!$D$6:$D$10,MATCH($F469,Cilësimet!$A$6:$A$10,0))))</f>
        <v/>
      </c>
      <c r="H469" s="22" t="str">
        <f aca="false">IF($Z469=1,$AA469-1,"")</f>
        <v/>
      </c>
      <c r="I469" s="23"/>
      <c r="J469" s="1"/>
      <c r="K469" s="1"/>
      <c r="L469" s="1"/>
      <c r="M469" s="1"/>
      <c r="N469" s="1"/>
      <c r="O469" s="1"/>
      <c r="P469" s="1"/>
      <c r="Q469" s="1"/>
      <c r="R469" s="1"/>
      <c r="S469" s="1"/>
      <c r="Z469" s="24" t="n">
        <f aca="false">IF($AB469="",0,IF(ISNUMBER($B469),IF(AND($B469&gt;=N($B$3),OR(NOT(ISNUMBER($D$3)),$B469&lt;=$D$3)),1,0),1))</f>
        <v>0</v>
      </c>
      <c r="AA469" s="24" t="n">
        <f aca="false">$AA468*(1+IF($Z469=1,N($G469),0))</f>
        <v>1.0035</v>
      </c>
      <c r="AB469" s="0" t="str">
        <f aca="false">IF($F469="","",IFERROR(INDEX(Cilësimet!$B$6:$B$10,MATCH($F469,Cilësimet!$A$6:$A$10,0)),""))</f>
        <v/>
      </c>
    </row>
    <row r="470" customFormat="false" ht="18.75" hidden="false" customHeight="true" outlineLevel="0" collapsed="false">
      <c r="A470" s="1"/>
      <c r="B470" s="17"/>
      <c r="C470" s="18"/>
      <c r="D470" s="18"/>
      <c r="E470" s="19"/>
      <c r="F470" s="20"/>
      <c r="G470" s="21" t="str">
        <f aca="false">IF($AB470="","",Cilësimet!$C$3*(INDEX(Cilësimet!$C$6:$C$10,MATCH($F470,Cilësimet!$A$6:$A$10,0))*N($E470)+INDEX(Cilësimet!$D$6:$D$10,MATCH($F470,Cilësimet!$A$6:$A$10,0))))</f>
        <v/>
      </c>
      <c r="H470" s="22" t="str">
        <f aca="false">IF($Z470=1,$AA470-1,"")</f>
        <v/>
      </c>
      <c r="I470" s="23"/>
      <c r="J470" s="1"/>
      <c r="K470" s="1"/>
      <c r="L470" s="1"/>
      <c r="M470" s="1"/>
      <c r="N470" s="1"/>
      <c r="O470" s="1"/>
      <c r="P470" s="1"/>
      <c r="Q470" s="1"/>
      <c r="R470" s="1"/>
      <c r="S470" s="1"/>
      <c r="Z470" s="24" t="n">
        <f aca="false">IF($AB470="",0,IF(ISNUMBER($B470),IF(AND($B470&gt;=N($B$3),OR(NOT(ISNUMBER($D$3)),$B470&lt;=$D$3)),1,0),1))</f>
        <v>0</v>
      </c>
      <c r="AA470" s="24" t="n">
        <f aca="false">$AA469*(1+IF($Z470=1,N($G470),0))</f>
        <v>1.0035</v>
      </c>
      <c r="AB470" s="0" t="str">
        <f aca="false">IF($F470="","",IFERROR(INDEX(Cilësimet!$B$6:$B$10,MATCH($F470,Cilësimet!$A$6:$A$10,0)),""))</f>
        <v/>
      </c>
    </row>
    <row r="471" customFormat="false" ht="18.75" hidden="false" customHeight="true" outlineLevel="0" collapsed="false">
      <c r="A471" s="1"/>
      <c r="B471" s="17"/>
      <c r="C471" s="18"/>
      <c r="D471" s="18"/>
      <c r="E471" s="19"/>
      <c r="F471" s="20"/>
      <c r="G471" s="21" t="str">
        <f aca="false">IF($AB471="","",Cilësimet!$C$3*(INDEX(Cilësimet!$C$6:$C$10,MATCH($F471,Cilësimet!$A$6:$A$10,0))*N($E471)+INDEX(Cilësimet!$D$6:$D$10,MATCH($F471,Cilësimet!$A$6:$A$10,0))))</f>
        <v/>
      </c>
      <c r="H471" s="22" t="str">
        <f aca="false">IF($Z471=1,$AA471-1,"")</f>
        <v/>
      </c>
      <c r="I471" s="23"/>
      <c r="J471" s="1"/>
      <c r="K471" s="1"/>
      <c r="L471" s="1"/>
      <c r="M471" s="1"/>
      <c r="N471" s="1"/>
      <c r="O471" s="1"/>
      <c r="P471" s="1"/>
      <c r="Q471" s="1"/>
      <c r="R471" s="1"/>
      <c r="S471" s="1"/>
      <c r="Z471" s="24" t="n">
        <f aca="false">IF($AB471="",0,IF(ISNUMBER($B471),IF(AND($B471&gt;=N($B$3),OR(NOT(ISNUMBER($D$3)),$B471&lt;=$D$3)),1,0),1))</f>
        <v>0</v>
      </c>
      <c r="AA471" s="24" t="n">
        <f aca="false">$AA470*(1+IF($Z471=1,N($G471),0))</f>
        <v>1.0035</v>
      </c>
      <c r="AB471" s="0" t="str">
        <f aca="false">IF($F471="","",IFERROR(INDEX(Cilësimet!$B$6:$B$10,MATCH($F471,Cilësimet!$A$6:$A$10,0)),""))</f>
        <v/>
      </c>
    </row>
    <row r="472" customFormat="false" ht="18.75" hidden="false" customHeight="true" outlineLevel="0" collapsed="false">
      <c r="A472" s="1"/>
      <c r="B472" s="17"/>
      <c r="C472" s="18"/>
      <c r="D472" s="18"/>
      <c r="E472" s="19"/>
      <c r="F472" s="20"/>
      <c r="G472" s="21" t="str">
        <f aca="false">IF($AB472="","",Cilësimet!$C$3*(INDEX(Cilësimet!$C$6:$C$10,MATCH($F472,Cilësimet!$A$6:$A$10,0))*N($E472)+INDEX(Cilësimet!$D$6:$D$10,MATCH($F472,Cilësimet!$A$6:$A$10,0))))</f>
        <v/>
      </c>
      <c r="H472" s="22" t="str">
        <f aca="false">IF($Z472=1,$AA472-1,"")</f>
        <v/>
      </c>
      <c r="I472" s="23"/>
      <c r="J472" s="1"/>
      <c r="K472" s="1"/>
      <c r="L472" s="1"/>
      <c r="M472" s="1"/>
      <c r="N472" s="1"/>
      <c r="O472" s="1"/>
      <c r="P472" s="1"/>
      <c r="Q472" s="1"/>
      <c r="R472" s="1"/>
      <c r="S472" s="1"/>
      <c r="Z472" s="24" t="n">
        <f aca="false">IF($AB472="",0,IF(ISNUMBER($B472),IF(AND($B472&gt;=N($B$3),OR(NOT(ISNUMBER($D$3)),$B472&lt;=$D$3)),1,0),1))</f>
        <v>0</v>
      </c>
      <c r="AA472" s="24" t="n">
        <f aca="false">$AA471*(1+IF($Z472=1,N($G472),0))</f>
        <v>1.0035</v>
      </c>
      <c r="AB472" s="0" t="str">
        <f aca="false">IF($F472="","",IFERROR(INDEX(Cilësimet!$B$6:$B$10,MATCH($F472,Cilësimet!$A$6:$A$10,0)),""))</f>
        <v/>
      </c>
    </row>
    <row r="473" customFormat="false" ht="18.75" hidden="false" customHeight="true" outlineLevel="0" collapsed="false">
      <c r="A473" s="1"/>
      <c r="B473" s="17"/>
      <c r="C473" s="18"/>
      <c r="D473" s="18"/>
      <c r="E473" s="19"/>
      <c r="F473" s="20"/>
      <c r="G473" s="21" t="str">
        <f aca="false">IF($AB473="","",Cilësimet!$C$3*(INDEX(Cilësimet!$C$6:$C$10,MATCH($F473,Cilësimet!$A$6:$A$10,0))*N($E473)+INDEX(Cilësimet!$D$6:$D$10,MATCH($F473,Cilësimet!$A$6:$A$10,0))))</f>
        <v/>
      </c>
      <c r="H473" s="22" t="str">
        <f aca="false">IF($Z473=1,$AA473-1,"")</f>
        <v/>
      </c>
      <c r="I473" s="23"/>
      <c r="J473" s="1"/>
      <c r="K473" s="1"/>
      <c r="L473" s="1"/>
      <c r="M473" s="1"/>
      <c r="N473" s="1"/>
      <c r="O473" s="1"/>
      <c r="P473" s="1"/>
      <c r="Q473" s="1"/>
      <c r="R473" s="1"/>
      <c r="S473" s="1"/>
      <c r="Z473" s="24" t="n">
        <f aca="false">IF($AB473="",0,IF(ISNUMBER($B473),IF(AND($B473&gt;=N($B$3),OR(NOT(ISNUMBER($D$3)),$B473&lt;=$D$3)),1,0),1))</f>
        <v>0</v>
      </c>
      <c r="AA473" s="24" t="n">
        <f aca="false">$AA472*(1+IF($Z473=1,N($G473),0))</f>
        <v>1.0035</v>
      </c>
      <c r="AB473" s="0" t="str">
        <f aca="false">IF($F473="","",IFERROR(INDEX(Cilësimet!$B$6:$B$10,MATCH($F473,Cilësimet!$A$6:$A$10,0)),""))</f>
        <v/>
      </c>
    </row>
    <row r="474" customFormat="false" ht="18.75" hidden="false" customHeight="true" outlineLevel="0" collapsed="false">
      <c r="A474" s="1"/>
      <c r="B474" s="17"/>
      <c r="C474" s="18"/>
      <c r="D474" s="18"/>
      <c r="E474" s="19"/>
      <c r="F474" s="20"/>
      <c r="G474" s="21" t="str">
        <f aca="false">IF($AB474="","",Cilësimet!$C$3*(INDEX(Cilësimet!$C$6:$C$10,MATCH($F474,Cilësimet!$A$6:$A$10,0))*N($E474)+INDEX(Cilësimet!$D$6:$D$10,MATCH($F474,Cilësimet!$A$6:$A$10,0))))</f>
        <v/>
      </c>
      <c r="H474" s="22" t="str">
        <f aca="false">IF($Z474=1,$AA474-1,"")</f>
        <v/>
      </c>
      <c r="I474" s="23"/>
      <c r="J474" s="1"/>
      <c r="K474" s="1"/>
      <c r="L474" s="1"/>
      <c r="M474" s="1"/>
      <c r="N474" s="1"/>
      <c r="O474" s="1"/>
      <c r="P474" s="1"/>
      <c r="Q474" s="1"/>
      <c r="R474" s="1"/>
      <c r="S474" s="1"/>
      <c r="Z474" s="24" t="n">
        <f aca="false">IF($AB474="",0,IF(ISNUMBER($B474),IF(AND($B474&gt;=N($B$3),OR(NOT(ISNUMBER($D$3)),$B474&lt;=$D$3)),1,0),1))</f>
        <v>0</v>
      </c>
      <c r="AA474" s="24" t="n">
        <f aca="false">$AA473*(1+IF($Z474=1,N($G474),0))</f>
        <v>1.0035</v>
      </c>
      <c r="AB474" s="0" t="str">
        <f aca="false">IF($F474="","",IFERROR(INDEX(Cilësimet!$B$6:$B$10,MATCH($F474,Cilësimet!$A$6:$A$10,0)),""))</f>
        <v/>
      </c>
    </row>
    <row r="475" customFormat="false" ht="18.75" hidden="false" customHeight="true" outlineLevel="0" collapsed="false">
      <c r="A475" s="1"/>
      <c r="B475" s="17"/>
      <c r="C475" s="18"/>
      <c r="D475" s="18"/>
      <c r="E475" s="19"/>
      <c r="F475" s="20"/>
      <c r="G475" s="21" t="str">
        <f aca="false">IF($AB475="","",Cilësimet!$C$3*(INDEX(Cilësimet!$C$6:$C$10,MATCH($F475,Cilësimet!$A$6:$A$10,0))*N($E475)+INDEX(Cilësimet!$D$6:$D$10,MATCH($F475,Cilësimet!$A$6:$A$10,0))))</f>
        <v/>
      </c>
      <c r="H475" s="22" t="str">
        <f aca="false">IF($Z475=1,$AA475-1,"")</f>
        <v/>
      </c>
      <c r="I475" s="23"/>
      <c r="J475" s="1"/>
      <c r="K475" s="1"/>
      <c r="L475" s="1"/>
      <c r="M475" s="1"/>
      <c r="N475" s="1"/>
      <c r="O475" s="1"/>
      <c r="P475" s="1"/>
      <c r="Q475" s="1"/>
      <c r="R475" s="1"/>
      <c r="S475" s="1"/>
      <c r="Z475" s="24" t="n">
        <f aca="false">IF($AB475="",0,IF(ISNUMBER($B475),IF(AND($B475&gt;=N($B$3),OR(NOT(ISNUMBER($D$3)),$B475&lt;=$D$3)),1,0),1))</f>
        <v>0</v>
      </c>
      <c r="AA475" s="24" t="n">
        <f aca="false">$AA474*(1+IF($Z475=1,N($G475),0))</f>
        <v>1.0035</v>
      </c>
      <c r="AB475" s="0" t="str">
        <f aca="false">IF($F475="","",IFERROR(INDEX(Cilësimet!$B$6:$B$10,MATCH($F475,Cilësimet!$A$6:$A$10,0)),""))</f>
        <v/>
      </c>
    </row>
    <row r="476" customFormat="false" ht="18.75" hidden="false" customHeight="true" outlineLevel="0" collapsed="false">
      <c r="A476" s="1"/>
      <c r="B476" s="17"/>
      <c r="C476" s="18"/>
      <c r="D476" s="18"/>
      <c r="E476" s="19"/>
      <c r="F476" s="20"/>
      <c r="G476" s="21" t="str">
        <f aca="false">IF($AB476="","",Cilësimet!$C$3*(INDEX(Cilësimet!$C$6:$C$10,MATCH($F476,Cilësimet!$A$6:$A$10,0))*N($E476)+INDEX(Cilësimet!$D$6:$D$10,MATCH($F476,Cilësimet!$A$6:$A$10,0))))</f>
        <v/>
      </c>
      <c r="H476" s="22" t="str">
        <f aca="false">IF($Z476=1,$AA476-1,"")</f>
        <v/>
      </c>
      <c r="I476" s="23"/>
      <c r="J476" s="1"/>
      <c r="K476" s="1"/>
      <c r="L476" s="1"/>
      <c r="M476" s="1"/>
      <c r="N476" s="1"/>
      <c r="O476" s="1"/>
      <c r="P476" s="1"/>
      <c r="Q476" s="1"/>
      <c r="R476" s="1"/>
      <c r="S476" s="1"/>
      <c r="Z476" s="24" t="n">
        <f aca="false">IF($AB476="",0,IF(ISNUMBER($B476),IF(AND($B476&gt;=N($B$3),OR(NOT(ISNUMBER($D$3)),$B476&lt;=$D$3)),1,0),1))</f>
        <v>0</v>
      </c>
      <c r="AA476" s="24" t="n">
        <f aca="false">$AA475*(1+IF($Z476=1,N($G476),0))</f>
        <v>1.0035</v>
      </c>
      <c r="AB476" s="0" t="str">
        <f aca="false">IF($F476="","",IFERROR(INDEX(Cilësimet!$B$6:$B$10,MATCH($F476,Cilësimet!$A$6:$A$10,0)),""))</f>
        <v/>
      </c>
    </row>
    <row r="477" customFormat="false" ht="18.75" hidden="false" customHeight="true" outlineLevel="0" collapsed="false">
      <c r="A477" s="1"/>
      <c r="B477" s="17"/>
      <c r="C477" s="18"/>
      <c r="D477" s="18"/>
      <c r="E477" s="19"/>
      <c r="F477" s="20"/>
      <c r="G477" s="21" t="str">
        <f aca="false">IF($AB477="","",Cilësimet!$C$3*(INDEX(Cilësimet!$C$6:$C$10,MATCH($F477,Cilësimet!$A$6:$A$10,0))*N($E477)+INDEX(Cilësimet!$D$6:$D$10,MATCH($F477,Cilësimet!$A$6:$A$10,0))))</f>
        <v/>
      </c>
      <c r="H477" s="22" t="str">
        <f aca="false">IF($Z477=1,$AA477-1,"")</f>
        <v/>
      </c>
      <c r="I477" s="23"/>
      <c r="J477" s="1"/>
      <c r="K477" s="1"/>
      <c r="L477" s="1"/>
      <c r="M477" s="1"/>
      <c r="N477" s="1"/>
      <c r="O477" s="1"/>
      <c r="P477" s="1"/>
      <c r="Q477" s="1"/>
      <c r="R477" s="1"/>
      <c r="S477" s="1"/>
      <c r="Z477" s="24" t="n">
        <f aca="false">IF($AB477="",0,IF(ISNUMBER($B477),IF(AND($B477&gt;=N($B$3),OR(NOT(ISNUMBER($D$3)),$B477&lt;=$D$3)),1,0),1))</f>
        <v>0</v>
      </c>
      <c r="AA477" s="24" t="n">
        <f aca="false">$AA476*(1+IF($Z477=1,N($G477),0))</f>
        <v>1.0035</v>
      </c>
      <c r="AB477" s="0" t="str">
        <f aca="false">IF($F477="","",IFERROR(INDEX(Cilësimet!$B$6:$B$10,MATCH($F477,Cilësimet!$A$6:$A$10,0)),""))</f>
        <v/>
      </c>
    </row>
    <row r="478" customFormat="false" ht="18.75" hidden="false" customHeight="true" outlineLevel="0" collapsed="false">
      <c r="A478" s="1"/>
      <c r="B478" s="17"/>
      <c r="C478" s="18"/>
      <c r="D478" s="18"/>
      <c r="E478" s="19"/>
      <c r="F478" s="20"/>
      <c r="G478" s="21" t="str">
        <f aca="false">IF($AB478="","",Cilësimet!$C$3*(INDEX(Cilësimet!$C$6:$C$10,MATCH($F478,Cilësimet!$A$6:$A$10,0))*N($E478)+INDEX(Cilësimet!$D$6:$D$10,MATCH($F478,Cilësimet!$A$6:$A$10,0))))</f>
        <v/>
      </c>
      <c r="H478" s="22" t="str">
        <f aca="false">IF($Z478=1,$AA478-1,"")</f>
        <v/>
      </c>
      <c r="I478" s="23"/>
      <c r="J478" s="1"/>
      <c r="K478" s="1"/>
      <c r="L478" s="1"/>
      <c r="M478" s="1"/>
      <c r="N478" s="1"/>
      <c r="O478" s="1"/>
      <c r="P478" s="1"/>
      <c r="Q478" s="1"/>
      <c r="R478" s="1"/>
      <c r="S478" s="1"/>
      <c r="Z478" s="24" t="n">
        <f aca="false">IF($AB478="",0,IF(ISNUMBER($B478),IF(AND($B478&gt;=N($B$3),OR(NOT(ISNUMBER($D$3)),$B478&lt;=$D$3)),1,0),1))</f>
        <v>0</v>
      </c>
      <c r="AA478" s="24" t="n">
        <f aca="false">$AA477*(1+IF($Z478=1,N($G478),0))</f>
        <v>1.0035</v>
      </c>
      <c r="AB478" s="0" t="str">
        <f aca="false">IF($F478="","",IFERROR(INDEX(Cilësimet!$B$6:$B$10,MATCH($F478,Cilësimet!$A$6:$A$10,0)),""))</f>
        <v/>
      </c>
    </row>
    <row r="479" customFormat="false" ht="18.75" hidden="false" customHeight="true" outlineLevel="0" collapsed="false">
      <c r="A479" s="1"/>
      <c r="B479" s="17"/>
      <c r="C479" s="18"/>
      <c r="D479" s="18"/>
      <c r="E479" s="19"/>
      <c r="F479" s="20"/>
      <c r="G479" s="21" t="str">
        <f aca="false">IF($AB479="","",Cilësimet!$C$3*(INDEX(Cilësimet!$C$6:$C$10,MATCH($F479,Cilësimet!$A$6:$A$10,0))*N($E479)+INDEX(Cilësimet!$D$6:$D$10,MATCH($F479,Cilësimet!$A$6:$A$10,0))))</f>
        <v/>
      </c>
      <c r="H479" s="22" t="str">
        <f aca="false">IF($Z479=1,$AA479-1,"")</f>
        <v/>
      </c>
      <c r="I479" s="23"/>
      <c r="J479" s="1"/>
      <c r="K479" s="1"/>
      <c r="L479" s="1"/>
      <c r="M479" s="1"/>
      <c r="N479" s="1"/>
      <c r="O479" s="1"/>
      <c r="P479" s="1"/>
      <c r="Q479" s="1"/>
      <c r="R479" s="1"/>
      <c r="S479" s="1"/>
      <c r="Z479" s="24" t="n">
        <f aca="false">IF($AB479="",0,IF(ISNUMBER($B479),IF(AND($B479&gt;=N($B$3),OR(NOT(ISNUMBER($D$3)),$B479&lt;=$D$3)),1,0),1))</f>
        <v>0</v>
      </c>
      <c r="AA479" s="24" t="n">
        <f aca="false">$AA478*(1+IF($Z479=1,N($G479),0))</f>
        <v>1.0035</v>
      </c>
      <c r="AB479" s="0" t="str">
        <f aca="false">IF($F479="","",IFERROR(INDEX(Cilësimet!$B$6:$B$10,MATCH($F479,Cilësimet!$A$6:$A$10,0)),""))</f>
        <v/>
      </c>
    </row>
    <row r="480" customFormat="false" ht="18.75" hidden="false" customHeight="true" outlineLevel="0" collapsed="false">
      <c r="A480" s="1"/>
      <c r="B480" s="17"/>
      <c r="C480" s="18"/>
      <c r="D480" s="18"/>
      <c r="E480" s="19"/>
      <c r="F480" s="20"/>
      <c r="G480" s="21" t="str">
        <f aca="false">IF($AB480="","",Cilësimet!$C$3*(INDEX(Cilësimet!$C$6:$C$10,MATCH($F480,Cilësimet!$A$6:$A$10,0))*N($E480)+INDEX(Cilësimet!$D$6:$D$10,MATCH($F480,Cilësimet!$A$6:$A$10,0))))</f>
        <v/>
      </c>
      <c r="H480" s="22" t="str">
        <f aca="false">IF($Z480=1,$AA480-1,"")</f>
        <v/>
      </c>
      <c r="I480" s="23"/>
      <c r="J480" s="1"/>
      <c r="K480" s="1"/>
      <c r="L480" s="1"/>
      <c r="M480" s="1"/>
      <c r="N480" s="1"/>
      <c r="O480" s="1"/>
      <c r="P480" s="1"/>
      <c r="Q480" s="1"/>
      <c r="R480" s="1"/>
      <c r="S480" s="1"/>
      <c r="Z480" s="24" t="n">
        <f aca="false">IF($AB480="",0,IF(ISNUMBER($B480),IF(AND($B480&gt;=N($B$3),OR(NOT(ISNUMBER($D$3)),$B480&lt;=$D$3)),1,0),1))</f>
        <v>0</v>
      </c>
      <c r="AA480" s="24" t="n">
        <f aca="false">$AA479*(1+IF($Z480=1,N($G480),0))</f>
        <v>1.0035</v>
      </c>
      <c r="AB480" s="0" t="str">
        <f aca="false">IF($F480="","",IFERROR(INDEX(Cilësimet!$B$6:$B$10,MATCH($F480,Cilësimet!$A$6:$A$10,0)),""))</f>
        <v/>
      </c>
    </row>
    <row r="481" customFormat="false" ht="18.75" hidden="false" customHeight="true" outlineLevel="0" collapsed="false">
      <c r="A481" s="1"/>
      <c r="B481" s="17"/>
      <c r="C481" s="18"/>
      <c r="D481" s="18"/>
      <c r="E481" s="19"/>
      <c r="F481" s="20"/>
      <c r="G481" s="21" t="str">
        <f aca="false">IF($AB481="","",Cilësimet!$C$3*(INDEX(Cilësimet!$C$6:$C$10,MATCH($F481,Cilësimet!$A$6:$A$10,0))*N($E481)+INDEX(Cilësimet!$D$6:$D$10,MATCH($F481,Cilësimet!$A$6:$A$10,0))))</f>
        <v/>
      </c>
      <c r="H481" s="22" t="str">
        <f aca="false">IF($Z481=1,$AA481-1,"")</f>
        <v/>
      </c>
      <c r="I481" s="23"/>
      <c r="J481" s="1"/>
      <c r="K481" s="1"/>
      <c r="L481" s="1"/>
      <c r="M481" s="1"/>
      <c r="N481" s="1"/>
      <c r="O481" s="1"/>
      <c r="P481" s="1"/>
      <c r="Q481" s="1"/>
      <c r="R481" s="1"/>
      <c r="S481" s="1"/>
      <c r="Z481" s="24" t="n">
        <f aca="false">IF($AB481="",0,IF(ISNUMBER($B481),IF(AND($B481&gt;=N($B$3),OR(NOT(ISNUMBER($D$3)),$B481&lt;=$D$3)),1,0),1))</f>
        <v>0</v>
      </c>
      <c r="AA481" s="24" t="n">
        <f aca="false">$AA480*(1+IF($Z481=1,N($G481),0))</f>
        <v>1.0035</v>
      </c>
      <c r="AB481" s="0" t="str">
        <f aca="false">IF($F481="","",IFERROR(INDEX(Cilësimet!$B$6:$B$10,MATCH($F481,Cilësimet!$A$6:$A$10,0)),""))</f>
        <v/>
      </c>
    </row>
    <row r="482" customFormat="false" ht="18.75" hidden="false" customHeight="true" outlineLevel="0" collapsed="false">
      <c r="A482" s="1"/>
      <c r="B482" s="17"/>
      <c r="C482" s="18"/>
      <c r="D482" s="18"/>
      <c r="E482" s="19"/>
      <c r="F482" s="20"/>
      <c r="G482" s="21" t="str">
        <f aca="false">IF($AB482="","",Cilësimet!$C$3*(INDEX(Cilësimet!$C$6:$C$10,MATCH($F482,Cilësimet!$A$6:$A$10,0))*N($E482)+INDEX(Cilësimet!$D$6:$D$10,MATCH($F482,Cilësimet!$A$6:$A$10,0))))</f>
        <v/>
      </c>
      <c r="H482" s="22" t="str">
        <f aca="false">IF($Z482=1,$AA482-1,"")</f>
        <v/>
      </c>
      <c r="I482" s="23"/>
      <c r="J482" s="1"/>
      <c r="K482" s="1"/>
      <c r="L482" s="1"/>
      <c r="M482" s="1"/>
      <c r="N482" s="1"/>
      <c r="O482" s="1"/>
      <c r="P482" s="1"/>
      <c r="Q482" s="1"/>
      <c r="R482" s="1"/>
      <c r="S482" s="1"/>
      <c r="Z482" s="24" t="n">
        <f aca="false">IF($AB482="",0,IF(ISNUMBER($B482),IF(AND($B482&gt;=N($B$3),OR(NOT(ISNUMBER($D$3)),$B482&lt;=$D$3)),1,0),1))</f>
        <v>0</v>
      </c>
      <c r="AA482" s="24" t="n">
        <f aca="false">$AA481*(1+IF($Z482=1,N($G482),0))</f>
        <v>1.0035</v>
      </c>
      <c r="AB482" s="0" t="str">
        <f aca="false">IF($F482="","",IFERROR(INDEX(Cilësimet!$B$6:$B$10,MATCH($F482,Cilësimet!$A$6:$A$10,0)),""))</f>
        <v/>
      </c>
    </row>
    <row r="483" customFormat="false" ht="18.75" hidden="false" customHeight="true" outlineLevel="0" collapsed="false">
      <c r="A483" s="1"/>
      <c r="B483" s="17"/>
      <c r="C483" s="18"/>
      <c r="D483" s="18"/>
      <c r="E483" s="19"/>
      <c r="F483" s="20"/>
      <c r="G483" s="21" t="str">
        <f aca="false">IF($AB483="","",Cilësimet!$C$3*(INDEX(Cilësimet!$C$6:$C$10,MATCH($F483,Cilësimet!$A$6:$A$10,0))*N($E483)+INDEX(Cilësimet!$D$6:$D$10,MATCH($F483,Cilësimet!$A$6:$A$10,0))))</f>
        <v/>
      </c>
      <c r="H483" s="22" t="str">
        <f aca="false">IF($Z483=1,$AA483-1,"")</f>
        <v/>
      </c>
      <c r="I483" s="23"/>
      <c r="J483" s="1"/>
      <c r="K483" s="1"/>
      <c r="L483" s="1"/>
      <c r="M483" s="1"/>
      <c r="N483" s="1"/>
      <c r="O483" s="1"/>
      <c r="P483" s="1"/>
      <c r="Q483" s="1"/>
      <c r="R483" s="1"/>
      <c r="S483" s="1"/>
      <c r="Z483" s="24" t="n">
        <f aca="false">IF($AB483="",0,IF(ISNUMBER($B483),IF(AND($B483&gt;=N($B$3),OR(NOT(ISNUMBER($D$3)),$B483&lt;=$D$3)),1,0),1))</f>
        <v>0</v>
      </c>
      <c r="AA483" s="24" t="n">
        <f aca="false">$AA482*(1+IF($Z483=1,N($G483),0))</f>
        <v>1.0035</v>
      </c>
      <c r="AB483" s="0" t="str">
        <f aca="false">IF($F483="","",IFERROR(INDEX(Cilësimet!$B$6:$B$10,MATCH($F483,Cilësimet!$A$6:$A$10,0)),""))</f>
        <v/>
      </c>
    </row>
    <row r="484" customFormat="false" ht="18.75" hidden="false" customHeight="true" outlineLevel="0" collapsed="false">
      <c r="A484" s="1"/>
      <c r="B484" s="17"/>
      <c r="C484" s="18"/>
      <c r="D484" s="18"/>
      <c r="E484" s="19"/>
      <c r="F484" s="20"/>
      <c r="G484" s="21" t="str">
        <f aca="false">IF($AB484="","",Cilësimet!$C$3*(INDEX(Cilësimet!$C$6:$C$10,MATCH($F484,Cilësimet!$A$6:$A$10,0))*N($E484)+INDEX(Cilësimet!$D$6:$D$10,MATCH($F484,Cilësimet!$A$6:$A$10,0))))</f>
        <v/>
      </c>
      <c r="H484" s="22" t="str">
        <f aca="false">IF($Z484=1,$AA484-1,"")</f>
        <v/>
      </c>
      <c r="I484" s="23"/>
      <c r="J484" s="1"/>
      <c r="K484" s="1"/>
      <c r="L484" s="1"/>
      <c r="M484" s="1"/>
      <c r="N484" s="1"/>
      <c r="O484" s="1"/>
      <c r="P484" s="1"/>
      <c r="Q484" s="1"/>
      <c r="R484" s="1"/>
      <c r="S484" s="1"/>
      <c r="Z484" s="24" t="n">
        <f aca="false">IF($AB484="",0,IF(ISNUMBER($B484),IF(AND($B484&gt;=N($B$3),OR(NOT(ISNUMBER($D$3)),$B484&lt;=$D$3)),1,0),1))</f>
        <v>0</v>
      </c>
      <c r="AA484" s="24" t="n">
        <f aca="false">$AA483*(1+IF($Z484=1,N($G484),0))</f>
        <v>1.0035</v>
      </c>
      <c r="AB484" s="0" t="str">
        <f aca="false">IF($F484="","",IFERROR(INDEX(Cilësimet!$B$6:$B$10,MATCH($F484,Cilësimet!$A$6:$A$10,0)),""))</f>
        <v/>
      </c>
    </row>
    <row r="485" customFormat="false" ht="18.75" hidden="false" customHeight="true" outlineLevel="0" collapsed="false">
      <c r="A485" s="1"/>
      <c r="B485" s="17"/>
      <c r="C485" s="18"/>
      <c r="D485" s="18"/>
      <c r="E485" s="19"/>
      <c r="F485" s="20"/>
      <c r="G485" s="21" t="str">
        <f aca="false">IF($AB485="","",Cilësimet!$C$3*(INDEX(Cilësimet!$C$6:$C$10,MATCH($F485,Cilësimet!$A$6:$A$10,0))*N($E485)+INDEX(Cilësimet!$D$6:$D$10,MATCH($F485,Cilësimet!$A$6:$A$10,0))))</f>
        <v/>
      </c>
      <c r="H485" s="22" t="str">
        <f aca="false">IF($Z485=1,$AA485-1,"")</f>
        <v/>
      </c>
      <c r="I485" s="23"/>
      <c r="J485" s="1"/>
      <c r="K485" s="1"/>
      <c r="L485" s="1"/>
      <c r="M485" s="1"/>
      <c r="N485" s="1"/>
      <c r="O485" s="1"/>
      <c r="P485" s="1"/>
      <c r="Q485" s="1"/>
      <c r="R485" s="1"/>
      <c r="S485" s="1"/>
      <c r="Z485" s="24" t="n">
        <f aca="false">IF($AB485="",0,IF(ISNUMBER($B485),IF(AND($B485&gt;=N($B$3),OR(NOT(ISNUMBER($D$3)),$B485&lt;=$D$3)),1,0),1))</f>
        <v>0</v>
      </c>
      <c r="AA485" s="24" t="n">
        <f aca="false">$AA484*(1+IF($Z485=1,N($G485),0))</f>
        <v>1.0035</v>
      </c>
      <c r="AB485" s="0" t="str">
        <f aca="false">IF($F485="","",IFERROR(INDEX(Cilësimet!$B$6:$B$10,MATCH($F485,Cilësimet!$A$6:$A$10,0)),""))</f>
        <v/>
      </c>
    </row>
    <row r="486" customFormat="false" ht="18.75" hidden="false" customHeight="true" outlineLevel="0" collapsed="false">
      <c r="A486" s="1"/>
      <c r="B486" s="17"/>
      <c r="C486" s="18"/>
      <c r="D486" s="18"/>
      <c r="E486" s="19"/>
      <c r="F486" s="20"/>
      <c r="G486" s="21" t="str">
        <f aca="false">IF($AB486="","",Cilësimet!$C$3*(INDEX(Cilësimet!$C$6:$C$10,MATCH($F486,Cilësimet!$A$6:$A$10,0))*N($E486)+INDEX(Cilësimet!$D$6:$D$10,MATCH($F486,Cilësimet!$A$6:$A$10,0))))</f>
        <v/>
      </c>
      <c r="H486" s="22" t="str">
        <f aca="false">IF($Z486=1,$AA486-1,"")</f>
        <v/>
      </c>
      <c r="I486" s="23"/>
      <c r="J486" s="1"/>
      <c r="K486" s="1"/>
      <c r="L486" s="1"/>
      <c r="M486" s="1"/>
      <c r="N486" s="1"/>
      <c r="O486" s="1"/>
      <c r="P486" s="1"/>
      <c r="Q486" s="1"/>
      <c r="R486" s="1"/>
      <c r="S486" s="1"/>
      <c r="Z486" s="24" t="n">
        <f aca="false">IF($AB486="",0,IF(ISNUMBER($B486),IF(AND($B486&gt;=N($B$3),OR(NOT(ISNUMBER($D$3)),$B486&lt;=$D$3)),1,0),1))</f>
        <v>0</v>
      </c>
      <c r="AA486" s="24" t="n">
        <f aca="false">$AA485*(1+IF($Z486=1,N($G486),0))</f>
        <v>1.0035</v>
      </c>
      <c r="AB486" s="0" t="str">
        <f aca="false">IF($F486="","",IFERROR(INDEX(Cilësimet!$B$6:$B$10,MATCH($F486,Cilësimet!$A$6:$A$10,0)),""))</f>
        <v/>
      </c>
    </row>
    <row r="487" customFormat="false" ht="18.75" hidden="false" customHeight="true" outlineLevel="0" collapsed="false">
      <c r="A487" s="1"/>
      <c r="B487" s="17"/>
      <c r="C487" s="18"/>
      <c r="D487" s="18"/>
      <c r="E487" s="19"/>
      <c r="F487" s="20"/>
      <c r="G487" s="21" t="str">
        <f aca="false">IF($AB487="","",Cilësimet!$C$3*(INDEX(Cilësimet!$C$6:$C$10,MATCH($F487,Cilësimet!$A$6:$A$10,0))*N($E487)+INDEX(Cilësimet!$D$6:$D$10,MATCH($F487,Cilësimet!$A$6:$A$10,0))))</f>
        <v/>
      </c>
      <c r="H487" s="22" t="str">
        <f aca="false">IF($Z487=1,$AA487-1,"")</f>
        <v/>
      </c>
      <c r="I487" s="23"/>
      <c r="J487" s="1"/>
      <c r="K487" s="1"/>
      <c r="L487" s="1"/>
      <c r="M487" s="1"/>
      <c r="N487" s="1"/>
      <c r="O487" s="1"/>
      <c r="P487" s="1"/>
      <c r="Q487" s="1"/>
      <c r="R487" s="1"/>
      <c r="S487" s="1"/>
      <c r="Z487" s="24" t="n">
        <f aca="false">IF($AB487="",0,IF(ISNUMBER($B487),IF(AND($B487&gt;=N($B$3),OR(NOT(ISNUMBER($D$3)),$B487&lt;=$D$3)),1,0),1))</f>
        <v>0</v>
      </c>
      <c r="AA487" s="24" t="n">
        <f aca="false">$AA486*(1+IF($Z487=1,N($G487),0))</f>
        <v>1.0035</v>
      </c>
      <c r="AB487" s="0" t="str">
        <f aca="false">IF($F487="","",IFERROR(INDEX(Cilësimet!$B$6:$B$10,MATCH($F487,Cilësimet!$A$6:$A$10,0)),""))</f>
        <v/>
      </c>
    </row>
    <row r="488" customFormat="false" ht="18.75" hidden="false" customHeight="true" outlineLevel="0" collapsed="false">
      <c r="A488" s="1"/>
      <c r="B488" s="17"/>
      <c r="C488" s="18"/>
      <c r="D488" s="18"/>
      <c r="E488" s="19"/>
      <c r="F488" s="20"/>
      <c r="G488" s="21" t="str">
        <f aca="false">IF($AB488="","",Cilësimet!$C$3*(INDEX(Cilësimet!$C$6:$C$10,MATCH($F488,Cilësimet!$A$6:$A$10,0))*N($E488)+INDEX(Cilësimet!$D$6:$D$10,MATCH($F488,Cilësimet!$A$6:$A$10,0))))</f>
        <v/>
      </c>
      <c r="H488" s="22" t="str">
        <f aca="false">IF($Z488=1,$AA488-1,"")</f>
        <v/>
      </c>
      <c r="I488" s="23"/>
      <c r="J488" s="1"/>
      <c r="K488" s="1"/>
      <c r="L488" s="1"/>
      <c r="M488" s="1"/>
      <c r="N488" s="1"/>
      <c r="O488" s="1"/>
      <c r="P488" s="1"/>
      <c r="Q488" s="1"/>
      <c r="R488" s="1"/>
      <c r="S488" s="1"/>
      <c r="Z488" s="24" t="n">
        <f aca="false">IF($AB488="",0,IF(ISNUMBER($B488),IF(AND($B488&gt;=N($B$3),OR(NOT(ISNUMBER($D$3)),$B488&lt;=$D$3)),1,0),1))</f>
        <v>0</v>
      </c>
      <c r="AA488" s="24" t="n">
        <f aca="false">$AA487*(1+IF($Z488=1,N($G488),0))</f>
        <v>1.0035</v>
      </c>
      <c r="AB488" s="0" t="str">
        <f aca="false">IF($F488="","",IFERROR(INDEX(Cilësimet!$B$6:$B$10,MATCH($F488,Cilësimet!$A$6:$A$10,0)),""))</f>
        <v/>
      </c>
    </row>
    <row r="489" customFormat="false" ht="18.75" hidden="false" customHeight="true" outlineLevel="0" collapsed="false">
      <c r="A489" s="1"/>
      <c r="B489" s="17"/>
      <c r="C489" s="18"/>
      <c r="D489" s="18"/>
      <c r="E489" s="19"/>
      <c r="F489" s="20"/>
      <c r="G489" s="21" t="str">
        <f aca="false">IF($AB489="","",Cilësimet!$C$3*(INDEX(Cilësimet!$C$6:$C$10,MATCH($F489,Cilësimet!$A$6:$A$10,0))*N($E489)+INDEX(Cilësimet!$D$6:$D$10,MATCH($F489,Cilësimet!$A$6:$A$10,0))))</f>
        <v/>
      </c>
      <c r="H489" s="22" t="str">
        <f aca="false">IF($Z489=1,$AA489-1,"")</f>
        <v/>
      </c>
      <c r="I489" s="23"/>
      <c r="J489" s="1"/>
      <c r="K489" s="1"/>
      <c r="L489" s="1"/>
      <c r="M489" s="1"/>
      <c r="N489" s="1"/>
      <c r="O489" s="1"/>
      <c r="P489" s="1"/>
      <c r="Q489" s="1"/>
      <c r="R489" s="1"/>
      <c r="S489" s="1"/>
      <c r="Z489" s="24" t="n">
        <f aca="false">IF($AB489="",0,IF(ISNUMBER($B489),IF(AND($B489&gt;=N($B$3),OR(NOT(ISNUMBER($D$3)),$B489&lt;=$D$3)),1,0),1))</f>
        <v>0</v>
      </c>
      <c r="AA489" s="24" t="n">
        <f aca="false">$AA488*(1+IF($Z489=1,N($G489),0))</f>
        <v>1.0035</v>
      </c>
      <c r="AB489" s="0" t="str">
        <f aca="false">IF($F489="","",IFERROR(INDEX(Cilësimet!$B$6:$B$10,MATCH($F489,Cilësimet!$A$6:$A$10,0)),""))</f>
        <v/>
      </c>
    </row>
    <row r="490" customFormat="false" ht="18.75" hidden="false" customHeight="true" outlineLevel="0" collapsed="false">
      <c r="A490" s="1"/>
      <c r="B490" s="17"/>
      <c r="C490" s="18"/>
      <c r="D490" s="18"/>
      <c r="E490" s="19"/>
      <c r="F490" s="20"/>
      <c r="G490" s="21" t="str">
        <f aca="false">IF($AB490="","",Cilësimet!$C$3*(INDEX(Cilësimet!$C$6:$C$10,MATCH($F490,Cilësimet!$A$6:$A$10,0))*N($E490)+INDEX(Cilësimet!$D$6:$D$10,MATCH($F490,Cilësimet!$A$6:$A$10,0))))</f>
        <v/>
      </c>
      <c r="H490" s="22" t="str">
        <f aca="false">IF($Z490=1,$AA490-1,"")</f>
        <v/>
      </c>
      <c r="I490" s="23"/>
      <c r="J490" s="1"/>
      <c r="K490" s="1"/>
      <c r="L490" s="1"/>
      <c r="M490" s="1"/>
      <c r="N490" s="1"/>
      <c r="O490" s="1"/>
      <c r="P490" s="1"/>
      <c r="Q490" s="1"/>
      <c r="R490" s="1"/>
      <c r="S490" s="1"/>
      <c r="Z490" s="24" t="n">
        <f aca="false">IF($AB490="",0,IF(ISNUMBER($B490),IF(AND($B490&gt;=N($B$3),OR(NOT(ISNUMBER($D$3)),$B490&lt;=$D$3)),1,0),1))</f>
        <v>0</v>
      </c>
      <c r="AA490" s="24" t="n">
        <f aca="false">$AA489*(1+IF($Z490=1,N($G490),0))</f>
        <v>1.0035</v>
      </c>
      <c r="AB490" s="0" t="str">
        <f aca="false">IF($F490="","",IFERROR(INDEX(Cilësimet!$B$6:$B$10,MATCH($F490,Cilësimet!$A$6:$A$10,0)),""))</f>
        <v/>
      </c>
    </row>
    <row r="491" customFormat="false" ht="18.75" hidden="false" customHeight="true" outlineLevel="0" collapsed="false">
      <c r="A491" s="1"/>
      <c r="B491" s="17"/>
      <c r="C491" s="18"/>
      <c r="D491" s="18"/>
      <c r="E491" s="19"/>
      <c r="F491" s="20"/>
      <c r="G491" s="21" t="str">
        <f aca="false">IF($AB491="","",Cilësimet!$C$3*(INDEX(Cilësimet!$C$6:$C$10,MATCH($F491,Cilësimet!$A$6:$A$10,0))*N($E491)+INDEX(Cilësimet!$D$6:$D$10,MATCH($F491,Cilësimet!$A$6:$A$10,0))))</f>
        <v/>
      </c>
      <c r="H491" s="22" t="str">
        <f aca="false">IF($Z491=1,$AA491-1,"")</f>
        <v/>
      </c>
      <c r="I491" s="23"/>
      <c r="J491" s="1"/>
      <c r="K491" s="1"/>
      <c r="L491" s="1"/>
      <c r="M491" s="1"/>
      <c r="N491" s="1"/>
      <c r="O491" s="1"/>
      <c r="P491" s="1"/>
      <c r="Q491" s="1"/>
      <c r="R491" s="1"/>
      <c r="S491" s="1"/>
      <c r="Z491" s="24" t="n">
        <f aca="false">IF($AB491="",0,IF(ISNUMBER($B491),IF(AND($B491&gt;=N($B$3),OR(NOT(ISNUMBER($D$3)),$B491&lt;=$D$3)),1,0),1))</f>
        <v>0</v>
      </c>
      <c r="AA491" s="24" t="n">
        <f aca="false">$AA490*(1+IF($Z491=1,N($G491),0))</f>
        <v>1.0035</v>
      </c>
      <c r="AB491" s="0" t="str">
        <f aca="false">IF($F491="","",IFERROR(INDEX(Cilësimet!$B$6:$B$10,MATCH($F491,Cilësimet!$A$6:$A$10,0)),""))</f>
        <v/>
      </c>
    </row>
    <row r="492" customFormat="false" ht="18.75" hidden="false" customHeight="true" outlineLevel="0" collapsed="false">
      <c r="A492" s="1"/>
      <c r="B492" s="17"/>
      <c r="C492" s="18"/>
      <c r="D492" s="18"/>
      <c r="E492" s="19"/>
      <c r="F492" s="20"/>
      <c r="G492" s="21" t="str">
        <f aca="false">IF($AB492="","",Cilësimet!$C$3*(INDEX(Cilësimet!$C$6:$C$10,MATCH($F492,Cilësimet!$A$6:$A$10,0))*N($E492)+INDEX(Cilësimet!$D$6:$D$10,MATCH($F492,Cilësimet!$A$6:$A$10,0))))</f>
        <v/>
      </c>
      <c r="H492" s="22" t="str">
        <f aca="false">IF($Z492=1,$AA492-1,"")</f>
        <v/>
      </c>
      <c r="I492" s="23"/>
      <c r="J492" s="1"/>
      <c r="K492" s="1"/>
      <c r="L492" s="1"/>
      <c r="M492" s="1"/>
      <c r="N492" s="1"/>
      <c r="O492" s="1"/>
      <c r="P492" s="1"/>
      <c r="Q492" s="1"/>
      <c r="R492" s="1"/>
      <c r="S492" s="1"/>
      <c r="Z492" s="24" t="n">
        <f aca="false">IF($AB492="",0,IF(ISNUMBER($B492),IF(AND($B492&gt;=N($B$3),OR(NOT(ISNUMBER($D$3)),$B492&lt;=$D$3)),1,0),1))</f>
        <v>0</v>
      </c>
      <c r="AA492" s="24" t="n">
        <f aca="false">$AA491*(1+IF($Z492=1,N($G492),0))</f>
        <v>1.0035</v>
      </c>
      <c r="AB492" s="0" t="str">
        <f aca="false">IF($F492="","",IFERROR(INDEX(Cilësimet!$B$6:$B$10,MATCH($F492,Cilësimet!$A$6:$A$10,0)),""))</f>
        <v/>
      </c>
    </row>
    <row r="493" customFormat="false" ht="18.75" hidden="false" customHeight="true" outlineLevel="0" collapsed="false">
      <c r="A493" s="1"/>
      <c r="B493" s="17"/>
      <c r="C493" s="18"/>
      <c r="D493" s="18"/>
      <c r="E493" s="19"/>
      <c r="F493" s="20"/>
      <c r="G493" s="21" t="str">
        <f aca="false">IF($AB493="","",Cilësimet!$C$3*(INDEX(Cilësimet!$C$6:$C$10,MATCH($F493,Cilësimet!$A$6:$A$10,0))*N($E493)+INDEX(Cilësimet!$D$6:$D$10,MATCH($F493,Cilësimet!$A$6:$A$10,0))))</f>
        <v/>
      </c>
      <c r="H493" s="22" t="str">
        <f aca="false">IF($Z493=1,$AA493-1,"")</f>
        <v/>
      </c>
      <c r="I493" s="23"/>
      <c r="J493" s="1"/>
      <c r="K493" s="1"/>
      <c r="L493" s="1"/>
      <c r="M493" s="1"/>
      <c r="N493" s="1"/>
      <c r="O493" s="1"/>
      <c r="P493" s="1"/>
      <c r="Q493" s="1"/>
      <c r="R493" s="1"/>
      <c r="S493" s="1"/>
      <c r="Z493" s="24" t="n">
        <f aca="false">IF($AB493="",0,IF(ISNUMBER($B493),IF(AND($B493&gt;=N($B$3),OR(NOT(ISNUMBER($D$3)),$B493&lt;=$D$3)),1,0),1))</f>
        <v>0</v>
      </c>
      <c r="AA493" s="24" t="n">
        <f aca="false">$AA492*(1+IF($Z493=1,N($G493),0))</f>
        <v>1.0035</v>
      </c>
      <c r="AB493" s="0" t="str">
        <f aca="false">IF($F493="","",IFERROR(INDEX(Cilësimet!$B$6:$B$10,MATCH($F493,Cilësimet!$A$6:$A$10,0)),""))</f>
        <v/>
      </c>
    </row>
    <row r="494" customFormat="false" ht="18.75" hidden="false" customHeight="true" outlineLevel="0" collapsed="false">
      <c r="A494" s="1"/>
      <c r="B494" s="17"/>
      <c r="C494" s="18"/>
      <c r="D494" s="18"/>
      <c r="E494" s="19"/>
      <c r="F494" s="20"/>
      <c r="G494" s="21" t="str">
        <f aca="false">IF($AB494="","",Cilësimet!$C$3*(INDEX(Cilësimet!$C$6:$C$10,MATCH($F494,Cilësimet!$A$6:$A$10,0))*N($E494)+INDEX(Cilësimet!$D$6:$D$10,MATCH($F494,Cilësimet!$A$6:$A$10,0))))</f>
        <v/>
      </c>
      <c r="H494" s="22" t="str">
        <f aca="false">IF($Z494=1,$AA494-1,"")</f>
        <v/>
      </c>
      <c r="I494" s="23"/>
      <c r="J494" s="1"/>
      <c r="K494" s="1"/>
      <c r="L494" s="1"/>
      <c r="M494" s="1"/>
      <c r="N494" s="1"/>
      <c r="O494" s="1"/>
      <c r="P494" s="1"/>
      <c r="Q494" s="1"/>
      <c r="R494" s="1"/>
      <c r="S494" s="1"/>
      <c r="Z494" s="24" t="n">
        <f aca="false">IF($AB494="",0,IF(ISNUMBER($B494),IF(AND($B494&gt;=N($B$3),OR(NOT(ISNUMBER($D$3)),$B494&lt;=$D$3)),1,0),1))</f>
        <v>0</v>
      </c>
      <c r="AA494" s="24" t="n">
        <f aca="false">$AA493*(1+IF($Z494=1,N($G494),0))</f>
        <v>1.0035</v>
      </c>
      <c r="AB494" s="0" t="str">
        <f aca="false">IF($F494="","",IFERROR(INDEX(Cilësimet!$B$6:$B$10,MATCH($F494,Cilësimet!$A$6:$A$10,0)),""))</f>
        <v/>
      </c>
    </row>
    <row r="495" customFormat="false" ht="18.75" hidden="false" customHeight="true" outlineLevel="0" collapsed="false">
      <c r="A495" s="1"/>
      <c r="B495" s="17"/>
      <c r="C495" s="18"/>
      <c r="D495" s="18"/>
      <c r="E495" s="19"/>
      <c r="F495" s="20"/>
      <c r="G495" s="21" t="str">
        <f aca="false">IF($AB495="","",Cilësimet!$C$3*(INDEX(Cilësimet!$C$6:$C$10,MATCH($F495,Cilësimet!$A$6:$A$10,0))*N($E495)+INDEX(Cilësimet!$D$6:$D$10,MATCH($F495,Cilësimet!$A$6:$A$10,0))))</f>
        <v/>
      </c>
      <c r="H495" s="22" t="str">
        <f aca="false">IF($Z495=1,$AA495-1,"")</f>
        <v/>
      </c>
      <c r="I495" s="23"/>
      <c r="J495" s="1"/>
      <c r="K495" s="1"/>
      <c r="L495" s="1"/>
      <c r="M495" s="1"/>
      <c r="N495" s="1"/>
      <c r="O495" s="1"/>
      <c r="P495" s="1"/>
      <c r="Q495" s="1"/>
      <c r="R495" s="1"/>
      <c r="S495" s="1"/>
      <c r="Z495" s="24" t="n">
        <f aca="false">IF($AB495="",0,IF(ISNUMBER($B495),IF(AND($B495&gt;=N($B$3),OR(NOT(ISNUMBER($D$3)),$B495&lt;=$D$3)),1,0),1))</f>
        <v>0</v>
      </c>
      <c r="AA495" s="24" t="n">
        <f aca="false">$AA494*(1+IF($Z495=1,N($G495),0))</f>
        <v>1.0035</v>
      </c>
      <c r="AB495" s="0" t="str">
        <f aca="false">IF($F495="","",IFERROR(INDEX(Cilësimet!$B$6:$B$10,MATCH($F495,Cilësimet!$A$6:$A$10,0)),""))</f>
        <v/>
      </c>
    </row>
    <row r="496" customFormat="false" ht="18.75" hidden="false" customHeight="true" outlineLevel="0" collapsed="false">
      <c r="A496" s="1"/>
      <c r="B496" s="17"/>
      <c r="C496" s="18"/>
      <c r="D496" s="18"/>
      <c r="E496" s="19"/>
      <c r="F496" s="20"/>
      <c r="G496" s="21" t="str">
        <f aca="false">IF($AB496="","",Cilësimet!$C$3*(INDEX(Cilësimet!$C$6:$C$10,MATCH($F496,Cilësimet!$A$6:$A$10,0))*N($E496)+INDEX(Cilësimet!$D$6:$D$10,MATCH($F496,Cilësimet!$A$6:$A$10,0))))</f>
        <v/>
      </c>
      <c r="H496" s="22" t="str">
        <f aca="false">IF($Z496=1,$AA496-1,"")</f>
        <v/>
      </c>
      <c r="I496" s="23"/>
      <c r="J496" s="1"/>
      <c r="K496" s="1"/>
      <c r="L496" s="1"/>
      <c r="M496" s="1"/>
      <c r="N496" s="1"/>
      <c r="O496" s="1"/>
      <c r="P496" s="1"/>
      <c r="Q496" s="1"/>
      <c r="R496" s="1"/>
      <c r="S496" s="1"/>
      <c r="Z496" s="24" t="n">
        <f aca="false">IF($AB496="",0,IF(ISNUMBER($B496),IF(AND($B496&gt;=N($B$3),OR(NOT(ISNUMBER($D$3)),$B496&lt;=$D$3)),1,0),1))</f>
        <v>0</v>
      </c>
      <c r="AA496" s="24" t="n">
        <f aca="false">$AA495*(1+IF($Z496=1,N($G496),0))</f>
        <v>1.0035</v>
      </c>
      <c r="AB496" s="0" t="str">
        <f aca="false">IF($F496="","",IFERROR(INDEX(Cilësimet!$B$6:$B$10,MATCH($F496,Cilësimet!$A$6:$A$10,0)),""))</f>
        <v/>
      </c>
    </row>
    <row r="497" customFormat="false" ht="18.75" hidden="false" customHeight="true" outlineLevel="0" collapsed="false">
      <c r="A497" s="1"/>
      <c r="B497" s="17"/>
      <c r="C497" s="18"/>
      <c r="D497" s="18"/>
      <c r="E497" s="19"/>
      <c r="F497" s="20"/>
      <c r="G497" s="21" t="str">
        <f aca="false">IF($AB497="","",Cilësimet!$C$3*(INDEX(Cilësimet!$C$6:$C$10,MATCH($F497,Cilësimet!$A$6:$A$10,0))*N($E497)+INDEX(Cilësimet!$D$6:$D$10,MATCH($F497,Cilësimet!$A$6:$A$10,0))))</f>
        <v/>
      </c>
      <c r="H497" s="22" t="str">
        <f aca="false">IF($Z497=1,$AA497-1,"")</f>
        <v/>
      </c>
      <c r="I497" s="23"/>
      <c r="J497" s="1"/>
      <c r="K497" s="1"/>
      <c r="L497" s="1"/>
      <c r="M497" s="1"/>
      <c r="N497" s="1"/>
      <c r="O497" s="1"/>
      <c r="P497" s="1"/>
      <c r="Q497" s="1"/>
      <c r="R497" s="1"/>
      <c r="S497" s="1"/>
      <c r="Z497" s="24" t="n">
        <f aca="false">IF($AB497="",0,IF(ISNUMBER($B497),IF(AND($B497&gt;=N($B$3),OR(NOT(ISNUMBER($D$3)),$B497&lt;=$D$3)),1,0),1))</f>
        <v>0</v>
      </c>
      <c r="AA497" s="24" t="n">
        <f aca="false">$AA496*(1+IF($Z497=1,N($G497),0))</f>
        <v>1.0035</v>
      </c>
      <c r="AB497" s="0" t="str">
        <f aca="false">IF($F497="","",IFERROR(INDEX(Cilësimet!$B$6:$B$10,MATCH($F497,Cilësimet!$A$6:$A$10,0)),""))</f>
        <v/>
      </c>
    </row>
    <row r="498" customFormat="false" ht="18.75" hidden="false" customHeight="true" outlineLevel="0" collapsed="false">
      <c r="A498" s="1"/>
      <c r="B498" s="17"/>
      <c r="C498" s="18"/>
      <c r="D498" s="18"/>
      <c r="E498" s="19"/>
      <c r="F498" s="20"/>
      <c r="G498" s="21" t="str">
        <f aca="false">IF($AB498="","",Cilësimet!$C$3*(INDEX(Cilësimet!$C$6:$C$10,MATCH($F498,Cilësimet!$A$6:$A$10,0))*N($E498)+INDEX(Cilësimet!$D$6:$D$10,MATCH($F498,Cilësimet!$A$6:$A$10,0))))</f>
        <v/>
      </c>
      <c r="H498" s="22" t="str">
        <f aca="false">IF($Z498=1,$AA498-1,"")</f>
        <v/>
      </c>
      <c r="I498" s="23"/>
      <c r="J498" s="1"/>
      <c r="K498" s="1"/>
      <c r="L498" s="1"/>
      <c r="M498" s="1"/>
      <c r="N498" s="1"/>
      <c r="O498" s="1"/>
      <c r="P498" s="1"/>
      <c r="Q498" s="1"/>
      <c r="R498" s="1"/>
      <c r="S498" s="1"/>
      <c r="Z498" s="24" t="n">
        <f aca="false">IF($AB498="",0,IF(ISNUMBER($B498),IF(AND($B498&gt;=N($B$3),OR(NOT(ISNUMBER($D$3)),$B498&lt;=$D$3)),1,0),1))</f>
        <v>0</v>
      </c>
      <c r="AA498" s="24" t="n">
        <f aca="false">$AA497*(1+IF($Z498=1,N($G498),0))</f>
        <v>1.0035</v>
      </c>
      <c r="AB498" s="0" t="str">
        <f aca="false">IF($F498="","",IFERROR(INDEX(Cilësimet!$B$6:$B$10,MATCH($F498,Cilësimet!$A$6:$A$10,0)),""))</f>
        <v/>
      </c>
    </row>
    <row r="499" customFormat="false" ht="18.75" hidden="false" customHeight="true" outlineLevel="0" collapsed="false">
      <c r="A499" s="1"/>
      <c r="B499" s="17"/>
      <c r="C499" s="18"/>
      <c r="D499" s="18"/>
      <c r="E499" s="19"/>
      <c r="F499" s="20"/>
      <c r="G499" s="21" t="str">
        <f aca="false">IF($AB499="","",Cilësimet!$C$3*(INDEX(Cilësimet!$C$6:$C$10,MATCH($F499,Cilësimet!$A$6:$A$10,0))*N($E499)+INDEX(Cilësimet!$D$6:$D$10,MATCH($F499,Cilësimet!$A$6:$A$10,0))))</f>
        <v/>
      </c>
      <c r="H499" s="22" t="str">
        <f aca="false">IF($Z499=1,$AA499-1,"")</f>
        <v/>
      </c>
      <c r="I499" s="23"/>
      <c r="J499" s="1"/>
      <c r="K499" s="1"/>
      <c r="L499" s="1"/>
      <c r="M499" s="1"/>
      <c r="N499" s="1"/>
      <c r="O499" s="1"/>
      <c r="P499" s="1"/>
      <c r="Q499" s="1"/>
      <c r="R499" s="1"/>
      <c r="S499" s="1"/>
      <c r="Z499" s="24" t="n">
        <f aca="false">IF($AB499="",0,IF(ISNUMBER($B499),IF(AND($B499&gt;=N($B$3),OR(NOT(ISNUMBER($D$3)),$B499&lt;=$D$3)),1,0),1))</f>
        <v>0</v>
      </c>
      <c r="AA499" s="24" t="n">
        <f aca="false">$AA498*(1+IF($Z499=1,N($G499),0))</f>
        <v>1.0035</v>
      </c>
      <c r="AB499" s="0" t="str">
        <f aca="false">IF($F499="","",IFERROR(INDEX(Cilësimet!$B$6:$B$10,MATCH($F499,Cilësimet!$A$6:$A$10,0)),""))</f>
        <v/>
      </c>
    </row>
    <row r="500" customFormat="false" ht="18.75" hidden="false" customHeight="true" outlineLevel="0" collapsed="false">
      <c r="A500" s="1"/>
      <c r="B500" s="17"/>
      <c r="C500" s="18"/>
      <c r="D500" s="18"/>
      <c r="E500" s="19"/>
      <c r="F500" s="20"/>
      <c r="G500" s="21" t="str">
        <f aca="false">IF($AB500="","",Cilësimet!$C$3*(INDEX(Cilësimet!$C$6:$C$10,MATCH($F500,Cilësimet!$A$6:$A$10,0))*N($E500)+INDEX(Cilësimet!$D$6:$D$10,MATCH($F500,Cilësimet!$A$6:$A$10,0))))</f>
        <v/>
      </c>
      <c r="H500" s="22" t="str">
        <f aca="false">IF($Z500=1,$AA500-1,"")</f>
        <v/>
      </c>
      <c r="I500" s="23"/>
      <c r="J500" s="1"/>
      <c r="K500" s="1"/>
      <c r="L500" s="1"/>
      <c r="M500" s="1"/>
      <c r="N500" s="1"/>
      <c r="O500" s="1"/>
      <c r="P500" s="1"/>
      <c r="Q500" s="1"/>
      <c r="R500" s="1"/>
      <c r="S500" s="1"/>
      <c r="Z500" s="24" t="n">
        <f aca="false">IF($AB500="",0,IF(ISNUMBER($B500),IF(AND($B500&gt;=N($B$3),OR(NOT(ISNUMBER($D$3)),$B500&lt;=$D$3)),1,0),1))</f>
        <v>0</v>
      </c>
      <c r="AA500" s="24" t="n">
        <f aca="false">$AA499*(1+IF($Z500=1,N($G500),0))</f>
        <v>1.0035</v>
      </c>
      <c r="AB500" s="0" t="str">
        <f aca="false">IF($F500="","",IFERROR(INDEX(Cilësimet!$B$6:$B$10,MATCH($F500,Cilësimet!$A$6:$A$10,0)),""))</f>
        <v/>
      </c>
    </row>
    <row r="501" customFormat="false" ht="18.75" hidden="false" customHeight="true" outlineLevel="0" collapsed="false">
      <c r="A501" s="1"/>
      <c r="B501" s="17"/>
      <c r="C501" s="18"/>
      <c r="D501" s="18"/>
      <c r="E501" s="19"/>
      <c r="F501" s="20"/>
      <c r="G501" s="21" t="str">
        <f aca="false">IF($AB501="","",Cilësimet!$C$3*(INDEX(Cilësimet!$C$6:$C$10,MATCH($F501,Cilësimet!$A$6:$A$10,0))*N($E501)+INDEX(Cilësimet!$D$6:$D$10,MATCH($F501,Cilësimet!$A$6:$A$10,0))))</f>
        <v/>
      </c>
      <c r="H501" s="22" t="str">
        <f aca="false">IF($Z501=1,$AA501-1,"")</f>
        <v/>
      </c>
      <c r="I501" s="23"/>
      <c r="J501" s="1"/>
      <c r="K501" s="1"/>
      <c r="L501" s="1"/>
      <c r="M501" s="1"/>
      <c r="N501" s="1"/>
      <c r="O501" s="1"/>
      <c r="P501" s="1"/>
      <c r="Q501" s="1"/>
      <c r="R501" s="1"/>
      <c r="S501" s="1"/>
      <c r="Z501" s="24" t="n">
        <f aca="false">IF($AB501="",0,IF(ISNUMBER($B501),IF(AND($B501&gt;=N($B$3),OR(NOT(ISNUMBER($D$3)),$B501&lt;=$D$3)),1,0),1))</f>
        <v>0</v>
      </c>
      <c r="AA501" s="24" t="n">
        <f aca="false">$AA500*(1+IF($Z501=1,N($G501),0))</f>
        <v>1.0035</v>
      </c>
      <c r="AB501" s="0" t="str">
        <f aca="false">IF($F501="","",IFERROR(INDEX(Cilësimet!$B$6:$B$10,MATCH($F501,Cilësimet!$A$6:$A$10,0)),""))</f>
        <v/>
      </c>
    </row>
    <row r="502" customFormat="false" ht="18.75" hidden="false" customHeight="true" outlineLevel="0" collapsed="false">
      <c r="A502" s="1"/>
      <c r="B502" s="17"/>
      <c r="C502" s="18"/>
      <c r="D502" s="18"/>
      <c r="E502" s="19"/>
      <c r="F502" s="20"/>
      <c r="G502" s="21" t="str">
        <f aca="false">IF($AB502="","",Cilësimet!$C$3*(INDEX(Cilësimet!$C$6:$C$10,MATCH($F502,Cilësimet!$A$6:$A$10,0))*N($E502)+INDEX(Cilësimet!$D$6:$D$10,MATCH($F502,Cilësimet!$A$6:$A$10,0))))</f>
        <v/>
      </c>
      <c r="H502" s="22" t="str">
        <f aca="false">IF($Z502=1,$AA502-1,"")</f>
        <v/>
      </c>
      <c r="I502" s="23"/>
      <c r="J502" s="1"/>
      <c r="K502" s="1"/>
      <c r="L502" s="1"/>
      <c r="M502" s="1"/>
      <c r="N502" s="1"/>
      <c r="O502" s="1"/>
      <c r="P502" s="1"/>
      <c r="Q502" s="1"/>
      <c r="R502" s="1"/>
      <c r="S502" s="1"/>
      <c r="Z502" s="24" t="n">
        <f aca="false">IF($AB502="",0,IF(ISNUMBER($B502),IF(AND($B502&gt;=N($B$3),OR(NOT(ISNUMBER($D$3)),$B502&lt;=$D$3)),1,0),1))</f>
        <v>0</v>
      </c>
      <c r="AA502" s="24" t="n">
        <f aca="false">$AA501*(1+IF($Z502=1,N($G502),0))</f>
        <v>1.0035</v>
      </c>
      <c r="AB502" s="0" t="str">
        <f aca="false">IF($F502="","",IFERROR(INDEX(Cilësimet!$B$6:$B$10,MATCH($F502,Cilësimet!$A$6:$A$10,0)),""))</f>
        <v/>
      </c>
    </row>
    <row r="503" customFormat="false" ht="18.75" hidden="false" customHeight="true" outlineLevel="0" collapsed="false">
      <c r="A503" s="1"/>
      <c r="B503" s="17"/>
      <c r="C503" s="18"/>
      <c r="D503" s="18"/>
      <c r="E503" s="19"/>
      <c r="F503" s="20"/>
      <c r="G503" s="21" t="str">
        <f aca="false">IF($AB503="","",Cilësimet!$C$3*(INDEX(Cilësimet!$C$6:$C$10,MATCH($F503,Cilësimet!$A$6:$A$10,0))*N($E503)+INDEX(Cilësimet!$D$6:$D$10,MATCH($F503,Cilësimet!$A$6:$A$10,0))))</f>
        <v/>
      </c>
      <c r="H503" s="22" t="str">
        <f aca="false">IF($Z503=1,$AA503-1,"")</f>
        <v/>
      </c>
      <c r="I503" s="23"/>
      <c r="J503" s="1"/>
      <c r="K503" s="1"/>
      <c r="L503" s="1"/>
      <c r="M503" s="1"/>
      <c r="N503" s="1"/>
      <c r="O503" s="1"/>
      <c r="P503" s="1"/>
      <c r="Q503" s="1"/>
      <c r="R503" s="1"/>
      <c r="S503" s="1"/>
      <c r="Z503" s="24" t="n">
        <f aca="false">IF($AB503="",0,IF(ISNUMBER($B503),IF(AND($B503&gt;=N($B$3),OR(NOT(ISNUMBER($D$3)),$B503&lt;=$D$3)),1,0),1))</f>
        <v>0</v>
      </c>
      <c r="AA503" s="24" t="n">
        <f aca="false">$AA502*(1+IF($Z503=1,N($G503),0))</f>
        <v>1.0035</v>
      </c>
      <c r="AB503" s="0" t="str">
        <f aca="false">IF($F503="","",IFERROR(INDEX(Cilësimet!$B$6:$B$10,MATCH($F503,Cilësimet!$A$6:$A$10,0)),""))</f>
        <v/>
      </c>
    </row>
    <row r="504" customFormat="false" ht="18.75" hidden="false" customHeight="true" outlineLevel="0" collapsed="false">
      <c r="A504" s="1"/>
      <c r="B504" s="17"/>
      <c r="C504" s="18"/>
      <c r="D504" s="18"/>
      <c r="E504" s="19"/>
      <c r="F504" s="20"/>
      <c r="G504" s="21" t="str">
        <f aca="false">IF($AB504="","",Cilësimet!$C$3*(INDEX(Cilësimet!$C$6:$C$10,MATCH($F504,Cilësimet!$A$6:$A$10,0))*N($E504)+INDEX(Cilësimet!$D$6:$D$10,MATCH($F504,Cilësimet!$A$6:$A$10,0))))</f>
        <v/>
      </c>
      <c r="H504" s="22" t="str">
        <f aca="false">IF($Z504=1,$AA504-1,"")</f>
        <v/>
      </c>
      <c r="I504" s="23"/>
      <c r="J504" s="1"/>
      <c r="K504" s="1"/>
      <c r="L504" s="1"/>
      <c r="M504" s="1"/>
      <c r="N504" s="1"/>
      <c r="O504" s="1"/>
      <c r="P504" s="1"/>
      <c r="Q504" s="1"/>
      <c r="R504" s="1"/>
      <c r="S504" s="1"/>
      <c r="Z504" s="24" t="n">
        <f aca="false">IF($AB504="",0,IF(ISNUMBER($B504),IF(AND($B504&gt;=N($B$3),OR(NOT(ISNUMBER($D$3)),$B504&lt;=$D$3)),1,0),1))</f>
        <v>0</v>
      </c>
      <c r="AA504" s="24" t="n">
        <f aca="false">$AA503*(1+IF($Z504=1,N($G504),0))</f>
        <v>1.0035</v>
      </c>
      <c r="AB504" s="0" t="str">
        <f aca="false">IF($F504="","",IFERROR(INDEX(Cilësimet!$B$6:$B$10,MATCH($F504,Cilësimet!$A$6:$A$10,0)),""))</f>
        <v/>
      </c>
    </row>
    <row r="505" customFormat="false" ht="18.75" hidden="false" customHeight="true" outlineLevel="0" collapsed="false">
      <c r="A505" s="1"/>
      <c r="B505" s="17"/>
      <c r="C505" s="18"/>
      <c r="D505" s="18"/>
      <c r="E505" s="19"/>
      <c r="F505" s="20"/>
      <c r="G505" s="21" t="str">
        <f aca="false">IF($AB505="","",Cilësimet!$C$3*(INDEX(Cilësimet!$C$6:$C$10,MATCH($F505,Cilësimet!$A$6:$A$10,0))*N($E505)+INDEX(Cilësimet!$D$6:$D$10,MATCH($F505,Cilësimet!$A$6:$A$10,0))))</f>
        <v/>
      </c>
      <c r="H505" s="22" t="str">
        <f aca="false">IF($Z505=1,$AA505-1,"")</f>
        <v/>
      </c>
      <c r="I505" s="23"/>
      <c r="J505" s="1"/>
      <c r="K505" s="1"/>
      <c r="L505" s="1"/>
      <c r="M505" s="1"/>
      <c r="N505" s="1"/>
      <c r="O505" s="1"/>
      <c r="P505" s="1"/>
      <c r="Q505" s="1"/>
      <c r="R505" s="1"/>
      <c r="S505" s="1"/>
      <c r="Z505" s="24" t="n">
        <f aca="false">IF($AB505="",0,IF(ISNUMBER($B505),IF(AND($B505&gt;=N($B$3),OR(NOT(ISNUMBER($D$3)),$B505&lt;=$D$3)),1,0),1))</f>
        <v>0</v>
      </c>
      <c r="AA505" s="24" t="n">
        <f aca="false">$AA504*(1+IF($Z505=1,N($G505),0))</f>
        <v>1.0035</v>
      </c>
      <c r="AB505" s="0" t="str">
        <f aca="false">IF($F505="","",IFERROR(INDEX(Cilësimet!$B$6:$B$10,MATCH($F505,Cilësimet!$A$6:$A$10,0)),""))</f>
        <v/>
      </c>
    </row>
    <row r="506" customFormat="false" ht="18.75" hidden="false" customHeight="true" outlineLevel="0" collapsed="false">
      <c r="A506" s="1"/>
      <c r="B506" s="17"/>
      <c r="C506" s="18"/>
      <c r="D506" s="18"/>
      <c r="E506" s="19"/>
      <c r="F506" s="20"/>
      <c r="G506" s="21" t="str">
        <f aca="false">IF($AB506="","",Cilësimet!$C$3*(INDEX(Cilësimet!$C$6:$C$10,MATCH($F506,Cilësimet!$A$6:$A$10,0))*N($E506)+INDEX(Cilësimet!$D$6:$D$10,MATCH($F506,Cilësimet!$A$6:$A$10,0))))</f>
        <v/>
      </c>
      <c r="H506" s="22" t="str">
        <f aca="false">IF($Z506=1,$AA506-1,"")</f>
        <v/>
      </c>
      <c r="I506" s="23"/>
      <c r="J506" s="1"/>
      <c r="K506" s="1"/>
      <c r="L506" s="1"/>
      <c r="M506" s="1"/>
      <c r="N506" s="1"/>
      <c r="O506" s="1"/>
      <c r="P506" s="1"/>
      <c r="Q506" s="1"/>
      <c r="R506" s="1"/>
      <c r="S506" s="1"/>
      <c r="Z506" s="24" t="n">
        <f aca="false">IF($AB506="",0,IF(ISNUMBER($B506),IF(AND($B506&gt;=N($B$3),OR(NOT(ISNUMBER($D$3)),$B506&lt;=$D$3)),1,0),1))</f>
        <v>0</v>
      </c>
      <c r="AA506" s="24" t="n">
        <f aca="false">$AA505*(1+IF($Z506=1,N($G506),0))</f>
        <v>1.0035</v>
      </c>
      <c r="AB506" s="0" t="str">
        <f aca="false">IF($F506="","",IFERROR(INDEX(Cilësimet!$B$6:$B$10,MATCH($F506,Cilësimet!$A$6:$A$10,0)),""))</f>
        <v/>
      </c>
    </row>
    <row r="507" customFormat="false" ht="18.75" hidden="false" customHeight="true" outlineLevel="0" collapsed="false">
      <c r="A507" s="1"/>
      <c r="B507" s="17"/>
      <c r="C507" s="18"/>
      <c r="D507" s="18"/>
      <c r="E507" s="19"/>
      <c r="F507" s="20"/>
      <c r="G507" s="21" t="str">
        <f aca="false">IF($AB507="","",Cilësimet!$C$3*(INDEX(Cilësimet!$C$6:$C$10,MATCH($F507,Cilësimet!$A$6:$A$10,0))*N($E507)+INDEX(Cilësimet!$D$6:$D$10,MATCH($F507,Cilësimet!$A$6:$A$10,0))))</f>
        <v/>
      </c>
      <c r="H507" s="22" t="str">
        <f aca="false">IF($Z507=1,$AA507-1,"")</f>
        <v/>
      </c>
      <c r="I507" s="23"/>
      <c r="J507" s="1"/>
      <c r="K507" s="1"/>
      <c r="L507" s="1"/>
      <c r="M507" s="1"/>
      <c r="N507" s="1"/>
      <c r="O507" s="1"/>
      <c r="P507" s="1"/>
      <c r="Q507" s="1"/>
      <c r="R507" s="1"/>
      <c r="S507" s="1"/>
      <c r="Z507" s="24" t="n">
        <f aca="false">IF($AB507="",0,IF(ISNUMBER($B507),IF(AND($B507&gt;=N($B$3),OR(NOT(ISNUMBER($D$3)),$B507&lt;=$D$3)),1,0),1))</f>
        <v>0</v>
      </c>
      <c r="AA507" s="24" t="n">
        <f aca="false">$AA506*(1+IF($Z507=1,N($G507),0))</f>
        <v>1.0035</v>
      </c>
      <c r="AB507" s="0" t="str">
        <f aca="false">IF($F507="","",IFERROR(INDEX(Cilësimet!$B$6:$B$10,MATCH($F507,Cilësimet!$A$6:$A$10,0)),""))</f>
        <v/>
      </c>
    </row>
    <row r="508" customFormat="false" ht="18.75" hidden="false" customHeight="true" outlineLevel="0" collapsed="false">
      <c r="A508" s="1"/>
      <c r="B508" s="17"/>
      <c r="C508" s="18"/>
      <c r="D508" s="18"/>
      <c r="E508" s="19"/>
      <c r="F508" s="20"/>
      <c r="G508" s="21" t="str">
        <f aca="false">IF($AB508="","",Cilësimet!$C$3*(INDEX(Cilësimet!$C$6:$C$10,MATCH($F508,Cilësimet!$A$6:$A$10,0))*N($E508)+INDEX(Cilësimet!$D$6:$D$10,MATCH($F508,Cilësimet!$A$6:$A$10,0))))</f>
        <v/>
      </c>
      <c r="H508" s="22" t="str">
        <f aca="false">IF($Z508=1,$AA508-1,"")</f>
        <v/>
      </c>
      <c r="I508" s="23"/>
      <c r="J508" s="1"/>
      <c r="K508" s="1"/>
      <c r="L508" s="1"/>
      <c r="M508" s="1"/>
      <c r="N508" s="1"/>
      <c r="O508" s="1"/>
      <c r="P508" s="1"/>
      <c r="Q508" s="1"/>
      <c r="R508" s="1"/>
      <c r="S508" s="1"/>
      <c r="Z508" s="24" t="n">
        <f aca="false">IF($AB508="",0,IF(ISNUMBER($B508),IF(AND($B508&gt;=N($B$3),OR(NOT(ISNUMBER($D$3)),$B508&lt;=$D$3)),1,0),1))</f>
        <v>0</v>
      </c>
      <c r="AA508" s="24" t="n">
        <f aca="false">$AA507*(1+IF($Z508=1,N($G508),0))</f>
        <v>1.0035</v>
      </c>
      <c r="AB508" s="0" t="str">
        <f aca="false">IF($F508="","",IFERROR(INDEX(Cilësimet!$B$6:$B$10,MATCH($F508,Cilësimet!$A$6:$A$10,0)),""))</f>
        <v/>
      </c>
    </row>
    <row r="509" customFormat="false" ht="18.75" hidden="false" customHeight="true" outlineLevel="0" collapsed="false">
      <c r="A509" s="1"/>
      <c r="B509" s="17"/>
      <c r="C509" s="18"/>
      <c r="D509" s="18"/>
      <c r="E509" s="19"/>
      <c r="F509" s="20"/>
      <c r="G509" s="21" t="str">
        <f aca="false">IF($AB509="","",Cilësimet!$C$3*(INDEX(Cilësimet!$C$6:$C$10,MATCH($F509,Cilësimet!$A$6:$A$10,0))*N($E509)+INDEX(Cilësimet!$D$6:$D$10,MATCH($F509,Cilësimet!$A$6:$A$10,0))))</f>
        <v/>
      </c>
      <c r="H509" s="22" t="str">
        <f aca="false">IF($Z509=1,$AA509-1,"")</f>
        <v/>
      </c>
      <c r="I509" s="23"/>
      <c r="J509" s="1"/>
      <c r="K509" s="1"/>
      <c r="L509" s="1"/>
      <c r="M509" s="1"/>
      <c r="N509" s="1"/>
      <c r="O509" s="1"/>
      <c r="P509" s="1"/>
      <c r="Q509" s="1"/>
      <c r="R509" s="1"/>
      <c r="S509" s="1"/>
      <c r="Z509" s="24" t="n">
        <f aca="false">IF($AB509="",0,IF(ISNUMBER($B509),IF(AND($B509&gt;=N($B$3),OR(NOT(ISNUMBER($D$3)),$B509&lt;=$D$3)),1,0),1))</f>
        <v>0</v>
      </c>
      <c r="AA509" s="24" t="n">
        <f aca="false">$AA508*(1+IF($Z509=1,N($G509),0))</f>
        <v>1.0035</v>
      </c>
      <c r="AB509" s="0" t="str">
        <f aca="false">IF($F509="","",IFERROR(INDEX(Cilësimet!$B$6:$B$10,MATCH($F509,Cilësimet!$A$6:$A$10,0)),""))</f>
        <v/>
      </c>
    </row>
    <row r="510" customFormat="false" ht="18.75" hidden="false" customHeight="true" outlineLevel="0" collapsed="false">
      <c r="A510" s="1"/>
      <c r="B510" s="17"/>
      <c r="C510" s="18"/>
      <c r="D510" s="18"/>
      <c r="E510" s="19"/>
      <c r="F510" s="20"/>
      <c r="G510" s="21" t="str">
        <f aca="false">IF($AB510="","",Cilësimet!$C$3*(INDEX(Cilësimet!$C$6:$C$10,MATCH($F510,Cilësimet!$A$6:$A$10,0))*N($E510)+INDEX(Cilësimet!$D$6:$D$10,MATCH($F510,Cilësimet!$A$6:$A$10,0))))</f>
        <v/>
      </c>
      <c r="H510" s="22" t="str">
        <f aca="false">IF($Z510=1,$AA510-1,"")</f>
        <v/>
      </c>
      <c r="I510" s="23"/>
      <c r="J510" s="1"/>
      <c r="K510" s="1"/>
      <c r="L510" s="1"/>
      <c r="M510" s="1"/>
      <c r="N510" s="1"/>
      <c r="O510" s="1"/>
      <c r="P510" s="1"/>
      <c r="Q510" s="1"/>
      <c r="R510" s="1"/>
      <c r="S510" s="1"/>
      <c r="Z510" s="24" t="n">
        <f aca="false">IF($AB510="",0,IF(ISNUMBER($B510),IF(AND($B510&gt;=N($B$3),OR(NOT(ISNUMBER($D$3)),$B510&lt;=$D$3)),1,0),1))</f>
        <v>0</v>
      </c>
      <c r="AA510" s="24" t="n">
        <f aca="false">$AA509*(1+IF($Z510=1,N($G510),0))</f>
        <v>1.0035</v>
      </c>
      <c r="AB510" s="0" t="str">
        <f aca="false">IF($F510="","",IFERROR(INDEX(Cilësimet!$B$6:$B$10,MATCH($F510,Cilësimet!$A$6:$A$10,0)),""))</f>
        <v/>
      </c>
    </row>
    <row r="511" customFormat="false" ht="18.75" hidden="false" customHeight="true" outlineLevel="0" collapsed="false">
      <c r="A511" s="1"/>
      <c r="B511" s="17"/>
      <c r="C511" s="18"/>
      <c r="D511" s="18"/>
      <c r="E511" s="19"/>
      <c r="F511" s="20"/>
      <c r="G511" s="21" t="str">
        <f aca="false">IF($AB511="","",Cilësimet!$C$3*(INDEX(Cilësimet!$C$6:$C$10,MATCH($F511,Cilësimet!$A$6:$A$10,0))*N($E511)+INDEX(Cilësimet!$D$6:$D$10,MATCH($F511,Cilësimet!$A$6:$A$10,0))))</f>
        <v/>
      </c>
      <c r="H511" s="22" t="str">
        <f aca="false">IF($Z511=1,$AA511-1,"")</f>
        <v/>
      </c>
      <c r="I511" s="23"/>
      <c r="J511" s="1"/>
      <c r="K511" s="1"/>
      <c r="L511" s="1"/>
      <c r="M511" s="1"/>
      <c r="N511" s="1"/>
      <c r="O511" s="1"/>
      <c r="P511" s="1"/>
      <c r="Q511" s="1"/>
      <c r="R511" s="1"/>
      <c r="S511" s="1"/>
      <c r="Z511" s="24" t="n">
        <f aca="false">IF($AB511="",0,IF(ISNUMBER($B511),IF(AND($B511&gt;=N($B$3),OR(NOT(ISNUMBER($D$3)),$B511&lt;=$D$3)),1,0),1))</f>
        <v>0</v>
      </c>
      <c r="AA511" s="24" t="n">
        <f aca="false">$AA510*(1+IF($Z511=1,N($G511),0))</f>
        <v>1.0035</v>
      </c>
      <c r="AB511" s="0" t="str">
        <f aca="false">IF($F511="","",IFERROR(INDEX(Cilësimet!$B$6:$B$10,MATCH($F511,Cilësimet!$A$6:$A$10,0)),""))</f>
        <v/>
      </c>
    </row>
    <row r="512" customFormat="false" ht="1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customFormat="false" ht="1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customFormat="false" ht="1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</sheetData>
  <mergeCells count="4">
    <mergeCell ref="B2:I2"/>
    <mergeCell ref="B8:B9"/>
    <mergeCell ref="C8:C9"/>
    <mergeCell ref="B10:I10"/>
  </mergeCells>
  <conditionalFormatting sqref="C8">
    <cfRule type="expression" priority="2" aboveAverage="0" equalAverage="0" bottom="0" percent="0" rank="0" text="" dxfId="0">
      <formula>$C$8&lt;0</formula>
    </cfRule>
  </conditionalFormatting>
  <conditionalFormatting sqref="F12:F511">
    <cfRule type="expression" priority="3" aboveAverage="0" equalAverage="0" bottom="0" percent="0" rank="0" text="" dxfId="1">
      <formula>UPPER(TRIM($F12))="TP"</formula>
    </cfRule>
    <cfRule type="expression" priority="4" aboveAverage="0" equalAverage="0" bottom="0" percent="0" rank="0" text="" dxfId="2">
      <formula>UPPER(TRIM($F12))="CLOSE HALF - TP"</formula>
    </cfRule>
    <cfRule type="expression" priority="5" aboveAverage="0" equalAverage="0" bottom="0" percent="0" rank="0" text="" dxfId="3">
      <formula>UPPER(TRIM($F12))="CLOSE HALF - BE"</formula>
    </cfRule>
    <cfRule type="expression" priority="6" aboveAverage="0" equalAverage="0" bottom="0" percent="0" rank="0" text="" dxfId="4">
      <formula>UPPER(TRIM($F12))="BE"</formula>
    </cfRule>
    <cfRule type="expression" priority="7" aboveAverage="0" equalAverage="0" bottom="0" percent="0" rank="0" text="" dxfId="5">
      <formula>UPPER(TRIM($F12))="LOSS"</formula>
    </cfRule>
  </conditionalFormatting>
  <conditionalFormatting sqref="G12:G511">
    <cfRule type="expression" priority="8" aboveAverage="0" equalAverage="0" bottom="0" percent="0" rank="0" text="" dxfId="6">
      <formula>AND(ISNUMBER($G12),$G12&gt;0)</formula>
    </cfRule>
    <cfRule type="expression" priority="9" aboveAverage="0" equalAverage="0" bottom="0" percent="0" rank="0" text="" dxfId="7">
      <formula>AND(ISNUMBER($G12),$G12&lt;0)</formula>
    </cfRule>
  </conditionalFormatting>
  <dataValidations count="5">
    <dataValidation allowBlank="true" error="Zgjidh një status nga lista (ose shtoje te Cilësimet)." errorStyle="stop" errorTitle="Status i pavlefshëm" operator="between" showDropDown="false" showErrorMessage="true" showInputMessage="false" sqref="F12:F511" type="list">
      <formula1>Cilësimet!$A$6:$A$10</formula1>
      <formula2>0</formula2>
    </dataValidation>
    <dataValidation allowBlank="true" errorStyle="stop" operator="between" showDropDown="false" showErrorMessage="false" showInputMessage="false" sqref="D12:D511" type="list">
      <formula1>Cilësimet!$F$5:$F$12</formula1>
      <formula2>0</formula2>
    </dataValidation>
    <dataValidation allowBlank="true" errorStyle="stop" operator="between" showDropDown="false" showErrorMessage="false" showInputMessage="false" sqref="C12:C511" type="list">
      <formula1>Cilësimet!$H$5:$H$24</formula1>
      <formula2>0</formula2>
    </dataValidation>
    <dataValidation allowBlank="true" error="Shkruaj një numër, p.sh. 1.4" errorStyle="stop" errorTitle="R:R" operator="between" showDropDown="false" showErrorMessage="true" showInputMessage="false" sqref="E12:E511" type="decimal">
      <formula1>0</formula1>
      <formula2>100</formula2>
    </dataValidation>
    <dataValidation allowBlank="true" error="Shkruaj një datë, p.sh. 07/01/2026" errorStyle="stop" errorTitle="Data" operator="between" showDropDown="false" showErrorMessage="true" showInputMessage="false" sqref="B12:B511" type="date">
      <formula1>36526</formula1>
      <formula2>73051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4"/>
    <col collapsed="false" customWidth="true" hidden="false" outlineLevel="0" max="6" min="6" style="0" width="14"/>
    <col collapsed="false" customWidth="true" hidden="false" outlineLevel="0" max="7" min="7" style="0" width="4"/>
    <col collapsed="false" customWidth="true" hidden="false" outlineLevel="0" max="8" min="8" style="0" width="12"/>
    <col collapsed="false" customWidth="true" hidden="false" outlineLevel="0" max="9" min="9" style="0" width="4"/>
    <col collapsed="false" customWidth="true" hidden="false" outlineLevel="0" max="10" min="10" style="0" width="60"/>
  </cols>
  <sheetData>
    <row r="1" customFormat="false" ht="30" hidden="false" customHeight="true" outlineLevel="0" collapsed="false">
      <c r="A1" s="26" t="s">
        <v>26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7" t="s">
        <v>27</v>
      </c>
      <c r="B3" s="1"/>
      <c r="C3" s="28" t="n">
        <v>0.01</v>
      </c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29" t="s">
        <v>11</v>
      </c>
      <c r="G4" s="1"/>
      <c r="H4" s="29" t="s">
        <v>10</v>
      </c>
      <c r="I4" s="1"/>
      <c r="J4" s="1"/>
    </row>
    <row r="5" customFormat="false" ht="15" hidden="false" customHeight="false" outlineLevel="0" collapsed="false">
      <c r="A5" s="30" t="s">
        <v>28</v>
      </c>
      <c r="B5" s="30" t="s">
        <v>18</v>
      </c>
      <c r="C5" s="30" t="s">
        <v>29</v>
      </c>
      <c r="D5" s="30" t="s">
        <v>30</v>
      </c>
      <c r="E5" s="1"/>
      <c r="F5" s="18" t="s">
        <v>21</v>
      </c>
      <c r="G5" s="1"/>
      <c r="H5" s="18" t="s">
        <v>31</v>
      </c>
      <c r="I5" s="1"/>
      <c r="J5" s="31" t="s">
        <v>32</v>
      </c>
    </row>
    <row r="6" customFormat="false" ht="15" hidden="false" customHeight="false" outlineLevel="0" collapsed="false">
      <c r="A6" s="32" t="s">
        <v>33</v>
      </c>
      <c r="B6" s="18" t="s">
        <v>34</v>
      </c>
      <c r="C6" s="19" t="n">
        <v>1</v>
      </c>
      <c r="D6" s="19" t="n">
        <v>0</v>
      </c>
      <c r="E6" s="1"/>
      <c r="F6" s="18" t="s">
        <v>35</v>
      </c>
      <c r="G6" s="1"/>
      <c r="H6" s="18" t="s">
        <v>36</v>
      </c>
      <c r="I6" s="1"/>
      <c r="J6" s="25" t="s">
        <v>37</v>
      </c>
    </row>
    <row r="7" customFormat="false" ht="15" hidden="false" customHeight="false" outlineLevel="0" collapsed="false">
      <c r="A7" s="33" t="s">
        <v>38</v>
      </c>
      <c r="B7" s="18" t="s">
        <v>34</v>
      </c>
      <c r="C7" s="19" t="n">
        <v>0.75</v>
      </c>
      <c r="D7" s="19" t="n">
        <v>0</v>
      </c>
      <c r="E7" s="1"/>
      <c r="F7" s="18" t="s">
        <v>39</v>
      </c>
      <c r="G7" s="1"/>
      <c r="H7" s="18" t="s">
        <v>40</v>
      </c>
      <c r="I7" s="1"/>
      <c r="J7" s="25" t="s">
        <v>41</v>
      </c>
    </row>
    <row r="8" customFormat="false" ht="15" hidden="false" customHeight="false" outlineLevel="0" collapsed="false">
      <c r="A8" s="34" t="s">
        <v>22</v>
      </c>
      <c r="B8" s="18" t="s">
        <v>42</v>
      </c>
      <c r="C8" s="19" t="n">
        <v>0.25</v>
      </c>
      <c r="D8" s="19" t="n">
        <v>0</v>
      </c>
      <c r="E8" s="1"/>
      <c r="F8" s="18" t="s">
        <v>43</v>
      </c>
      <c r="G8" s="1"/>
      <c r="H8" s="18" t="s">
        <v>44</v>
      </c>
      <c r="I8" s="1"/>
      <c r="J8" s="25" t="s">
        <v>45</v>
      </c>
    </row>
    <row r="9" customFormat="false" ht="15" hidden="false" customHeight="false" outlineLevel="0" collapsed="false">
      <c r="A9" s="35" t="s">
        <v>42</v>
      </c>
      <c r="B9" s="18" t="s">
        <v>42</v>
      </c>
      <c r="C9" s="19" t="n">
        <v>0</v>
      </c>
      <c r="D9" s="19" t="n">
        <v>0</v>
      </c>
      <c r="E9" s="1"/>
      <c r="F9" s="18" t="s">
        <v>46</v>
      </c>
      <c r="G9" s="1"/>
      <c r="H9" s="18" t="s">
        <v>47</v>
      </c>
      <c r="I9" s="1"/>
      <c r="J9" s="25" t="s">
        <v>48</v>
      </c>
    </row>
    <row r="10" customFormat="false" ht="15" hidden="false" customHeight="false" outlineLevel="0" collapsed="false">
      <c r="A10" s="36" t="s">
        <v>49</v>
      </c>
      <c r="B10" s="18" t="s">
        <v>49</v>
      </c>
      <c r="C10" s="19" t="n">
        <v>0</v>
      </c>
      <c r="D10" s="19" t="n">
        <v>-1</v>
      </c>
      <c r="E10" s="1"/>
      <c r="F10" s="18" t="s">
        <v>50</v>
      </c>
      <c r="G10" s="1"/>
      <c r="H10" s="18" t="s">
        <v>51</v>
      </c>
      <c r="I10" s="1"/>
      <c r="J10" s="25" t="s">
        <v>52</v>
      </c>
    </row>
    <row r="11" customFormat="false" ht="15" hidden="false" customHeight="false" outlineLevel="0" collapsed="false">
      <c r="A11" s="1"/>
      <c r="B11" s="1"/>
      <c r="C11" s="1"/>
      <c r="D11" s="1"/>
      <c r="E11" s="1"/>
      <c r="F11" s="18" t="s">
        <v>53</v>
      </c>
      <c r="G11" s="1"/>
      <c r="H11" s="18" t="s">
        <v>54</v>
      </c>
      <c r="I11" s="1"/>
      <c r="J11" s="25" t="s">
        <v>55</v>
      </c>
    </row>
    <row r="12" customFormat="false" ht="15" hidden="false" customHeight="false" outlineLevel="0" collapsed="false">
      <c r="A12" s="1"/>
      <c r="B12" s="1"/>
      <c r="C12" s="1"/>
      <c r="D12" s="1"/>
      <c r="E12" s="1"/>
      <c r="F12" s="18" t="s">
        <v>56</v>
      </c>
      <c r="G12" s="1"/>
      <c r="H12" s="18" t="s">
        <v>20</v>
      </c>
      <c r="I12" s="1"/>
      <c r="J12" s="25" t="s">
        <v>57</v>
      </c>
    </row>
    <row r="13" customFormat="false" ht="15" hidden="false" customHeight="false" outlineLevel="0" collapsed="false">
      <c r="A13" s="25" t="s">
        <v>58</v>
      </c>
      <c r="B13" s="1"/>
      <c r="C13" s="1"/>
      <c r="D13" s="1"/>
      <c r="E13" s="1"/>
      <c r="F13" s="1"/>
      <c r="G13" s="1"/>
      <c r="H13" s="18" t="s">
        <v>59</v>
      </c>
      <c r="I13" s="1"/>
      <c r="J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8" t="s">
        <v>60</v>
      </c>
      <c r="I14" s="1"/>
      <c r="J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8" t="s">
        <v>61</v>
      </c>
      <c r="I15" s="1"/>
      <c r="J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8" t="s">
        <v>62</v>
      </c>
      <c r="I16" s="1"/>
      <c r="J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8" t="s">
        <v>63</v>
      </c>
      <c r="I17" s="1"/>
      <c r="J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8" t="s">
        <v>64</v>
      </c>
      <c r="I18" s="1"/>
      <c r="J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8" t="s">
        <v>65</v>
      </c>
      <c r="I19" s="1"/>
      <c r="J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8" t="s">
        <v>66</v>
      </c>
      <c r="I20" s="1"/>
      <c r="J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8" t="s">
        <v>67</v>
      </c>
      <c r="I21" s="1"/>
      <c r="J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8" t="s">
        <v>68</v>
      </c>
      <c r="I22" s="1"/>
      <c r="J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8" t="s">
        <v>69</v>
      </c>
      <c r="I23" s="1"/>
      <c r="J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8" t="s">
        <v>70</v>
      </c>
      <c r="I24" s="1"/>
      <c r="J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dataValidations count="1">
    <dataValidation allowBlank="true" errorStyle="stop" operator="between" showDropDown="false" showErrorMessage="false" showInputMessage="false" sqref="B6:B10" type="list">
      <formula1>"WIN,LOSS,BE"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7"/>
      <c r="B1" s="37"/>
    </row>
    <row r="2" customFormat="false" ht="25.5" hidden="false" customHeight="true" outlineLevel="0" collapsed="false">
      <c r="A2" s="37"/>
      <c r="B2" s="38" t="s">
        <v>71</v>
      </c>
    </row>
    <row r="3" customFormat="false" ht="18" hidden="false" customHeight="true" outlineLevel="0" collapsed="false">
      <c r="A3" s="37"/>
      <c r="B3" s="39"/>
    </row>
    <row r="4" customFormat="false" ht="18" hidden="false" customHeight="true" outlineLevel="0" collapsed="false">
      <c r="A4" s="37"/>
      <c r="B4" s="40" t="s">
        <v>72</v>
      </c>
    </row>
    <row r="5" customFormat="false" ht="18" hidden="false" customHeight="true" outlineLevel="0" collapsed="false">
      <c r="A5" s="37"/>
      <c r="B5" s="39" t="s">
        <v>73</v>
      </c>
    </row>
    <row r="6" customFormat="false" ht="18" hidden="false" customHeight="true" outlineLevel="0" collapsed="false">
      <c r="A6" s="37"/>
      <c r="B6" s="39" t="s">
        <v>74</v>
      </c>
    </row>
    <row r="7" customFormat="false" ht="18" hidden="false" customHeight="true" outlineLevel="0" collapsed="false">
      <c r="A7" s="37"/>
      <c r="B7" s="39" t="s">
        <v>75</v>
      </c>
    </row>
    <row r="8" customFormat="false" ht="18" hidden="false" customHeight="true" outlineLevel="0" collapsed="false">
      <c r="A8" s="37"/>
      <c r="B8" s="39" t="s">
        <v>76</v>
      </c>
    </row>
    <row r="9" customFormat="false" ht="18" hidden="false" customHeight="true" outlineLevel="0" collapsed="false">
      <c r="A9" s="37"/>
      <c r="B9" s="39" t="s">
        <v>77</v>
      </c>
    </row>
    <row r="10" customFormat="false" ht="18" hidden="false" customHeight="true" outlineLevel="0" collapsed="false">
      <c r="A10" s="37"/>
      <c r="B10" s="39" t="s">
        <v>78</v>
      </c>
    </row>
    <row r="11" customFormat="false" ht="18" hidden="false" customHeight="true" outlineLevel="0" collapsed="false">
      <c r="A11" s="37"/>
      <c r="B11" s="39"/>
    </row>
    <row r="12" customFormat="false" ht="18" hidden="false" customHeight="true" outlineLevel="0" collapsed="false">
      <c r="A12" s="37"/>
      <c r="B12" s="40" t="s">
        <v>79</v>
      </c>
    </row>
    <row r="13" customFormat="false" ht="18" hidden="false" customHeight="true" outlineLevel="0" collapsed="false">
      <c r="A13" s="37"/>
      <c r="B13" s="39" t="s">
        <v>80</v>
      </c>
    </row>
    <row r="14" customFormat="false" ht="18" hidden="false" customHeight="true" outlineLevel="0" collapsed="false">
      <c r="A14" s="37"/>
      <c r="B14" s="39" t="s">
        <v>81</v>
      </c>
    </row>
    <row r="15" customFormat="false" ht="18" hidden="false" customHeight="true" outlineLevel="0" collapsed="false">
      <c r="A15" s="37"/>
      <c r="B15" s="39" t="s">
        <v>82</v>
      </c>
    </row>
    <row r="16" customFormat="false" ht="18" hidden="false" customHeight="true" outlineLevel="0" collapsed="false">
      <c r="A16" s="37"/>
      <c r="B16" s="39" t="s">
        <v>83</v>
      </c>
    </row>
    <row r="17" customFormat="false" ht="18" hidden="false" customHeight="true" outlineLevel="0" collapsed="false">
      <c r="A17" s="37"/>
      <c r="B17" s="39" t="s">
        <v>84</v>
      </c>
    </row>
    <row r="18" customFormat="false" ht="18" hidden="false" customHeight="true" outlineLevel="0" collapsed="false">
      <c r="A18" s="37"/>
      <c r="B18" s="39"/>
    </row>
    <row r="19" customFormat="false" ht="18" hidden="false" customHeight="true" outlineLevel="0" collapsed="false">
      <c r="A19" s="37"/>
      <c r="B19" s="40" t="s">
        <v>85</v>
      </c>
    </row>
    <row r="20" customFormat="false" ht="18" hidden="false" customHeight="true" outlineLevel="0" collapsed="false">
      <c r="A20" s="37"/>
      <c r="B20" s="39" t="s">
        <v>86</v>
      </c>
    </row>
    <row r="21" customFormat="false" ht="18" hidden="false" customHeight="true" outlineLevel="0" collapsed="false">
      <c r="A21" s="37"/>
      <c r="B21" s="39"/>
    </row>
    <row r="22" customFormat="false" ht="18" hidden="false" customHeight="true" outlineLevel="0" collapsed="false">
      <c r="A22" s="37"/>
      <c r="B22" s="40" t="s">
        <v>87</v>
      </c>
    </row>
    <row r="23" customFormat="false" ht="18" hidden="false" customHeight="true" outlineLevel="0" collapsed="false">
      <c r="A23" s="37"/>
      <c r="B23" s="39" t="s">
        <v>88</v>
      </c>
    </row>
    <row r="24" customFormat="false" ht="18" hidden="false" customHeight="true" outlineLevel="0" collapsed="false">
      <c r="A24" s="37"/>
      <c r="B24" s="39"/>
    </row>
    <row r="25" customFormat="false" ht="18" hidden="false" customHeight="true" outlineLevel="0" collapsed="false">
      <c r="A25" s="37"/>
      <c r="B25" s="40" t="s">
        <v>89</v>
      </c>
    </row>
    <row r="26" customFormat="false" ht="18" hidden="false" customHeight="true" outlineLevel="0" collapsed="false">
      <c r="A26" s="37"/>
      <c r="B26" s="39" t="s">
        <v>90</v>
      </c>
    </row>
    <row r="27" customFormat="false" ht="15" hidden="false" customHeight="false" outlineLevel="0" collapsed="false">
      <c r="A27" s="37"/>
      <c r="B27" s="37"/>
    </row>
    <row r="28" customFormat="false" ht="15" hidden="false" customHeight="false" outlineLevel="0" collapsed="false">
      <c r="A28" s="37"/>
      <c r="B28" s="37"/>
    </row>
    <row r="29" customFormat="false" ht="15" hidden="false" customHeight="false" outlineLevel="0" collapsed="false">
      <c r="A29" s="37"/>
      <c r="B29" s="37"/>
    </row>
    <row r="30" customFormat="false" ht="15" hidden="false" customHeight="false" outlineLevel="0" collapsed="false">
      <c r="A30" s="37"/>
      <c r="B30" s="37"/>
    </row>
    <row r="31" customFormat="false" ht="15" hidden="false" customHeight="false" outlineLevel="0" collapsed="false">
      <c r="A31" s="37"/>
      <c r="B31" s="37"/>
    </row>
    <row r="32" customFormat="false" ht="15" hidden="false" customHeight="false" outlineLevel="0" collapsed="false">
      <c r="A32" s="37"/>
      <c r="B32" s="37"/>
    </row>
    <row r="33" customFormat="false" ht="15" hidden="false" customHeight="false" outlineLevel="0" collapsed="false">
      <c r="A33" s="37"/>
      <c r="B33" s="37"/>
    </row>
    <row r="34" customFormat="false" ht="15" hidden="false" customHeight="false" outlineLevel="0" collapsed="false">
      <c r="A34" s="37"/>
      <c r="B34" s="37"/>
    </row>
    <row r="35" customFormat="false" ht="15" hidden="false" customHeight="false" outlineLevel="0" collapsed="false">
      <c r="A35" s="37"/>
      <c r="B35" s="37"/>
    </row>
    <row r="36" customFormat="false" ht="15" hidden="false" customHeight="false" outlineLevel="0" collapsed="false">
      <c r="A36" s="37"/>
      <c r="B36" s="37"/>
    </row>
    <row r="37" customFormat="false" ht="15" hidden="false" customHeight="false" outlineLevel="0" collapsed="false">
      <c r="A37" s="37"/>
      <c r="B37" s="37"/>
    </row>
    <row r="38" customFormat="false" ht="15" hidden="false" customHeight="false" outlineLevel="0" collapsed="false">
      <c r="A38" s="37"/>
      <c r="B38" s="37"/>
    </row>
    <row r="39" customFormat="false" ht="15" hidden="false" customHeight="false" outlineLevel="0" collapsed="false">
      <c r="A39" s="37"/>
      <c r="B39" s="3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2026-10-12T17:48:44Z</dcterms:created>
  <dc:creator>openpyxl</dc:creator>
  <dc:description/>
  <dc:language>en-US</dc:language>
  <cp:lastModifiedBy/>
  <dcterms:modified xsi:type="dcterms:W3CDTF">2026-10-12T17:48:49Z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